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CULTY 11 LOAD DISTRIBUTION " sheetId="1" r:id="rId5"/>
    <sheet state="visible" name="FACULTY 12 LOAD DISTRIBUTION " sheetId="2" r:id="rId6"/>
    <sheet state="visible" name="Load Calculation" sheetId="3" r:id="rId7"/>
  </sheets>
  <definedNames/>
  <calcPr/>
</workbook>
</file>

<file path=xl/sharedStrings.xml><?xml version="1.0" encoding="utf-8"?>
<sst xmlns="http://schemas.openxmlformats.org/spreadsheetml/2006/main" count="252" uniqueCount="146">
  <si>
    <t>Finolex Academy of Management and Technology, Ratnagiri</t>
  </si>
  <si>
    <t>Name of the Department: Information Technology (ODD SEM)</t>
  </si>
  <si>
    <t>Department of Information Technology Engineering</t>
  </si>
  <si>
    <t>Teaching Load Distribution for SH2026 SEM of AY 2026-27</t>
  </si>
  <si>
    <t>Sr. No.</t>
  </si>
  <si>
    <t>Sem</t>
  </si>
  <si>
    <t>Name of the faculty member</t>
  </si>
  <si>
    <t>Student strength</t>
  </si>
  <si>
    <t>Load of Theory Course</t>
  </si>
  <si>
    <t>Subject</t>
  </si>
  <si>
    <t xml:space="preserve">Load of Lab Course </t>
  </si>
  <si>
    <t>TH</t>
  </si>
  <si>
    <t>PR/    TUT</t>
  </si>
  <si>
    <t>No of Batches</t>
  </si>
  <si>
    <t>Pract. Hr.</t>
  </si>
  <si>
    <t>Total Teaching load</t>
  </si>
  <si>
    <t>Total</t>
  </si>
  <si>
    <t>Load per Sem.</t>
  </si>
  <si>
    <t>Credits</t>
  </si>
  <si>
    <t>Course 1</t>
  </si>
  <si>
    <t>Load</t>
  </si>
  <si>
    <t>Course 2</t>
  </si>
  <si>
    <t>Course 3</t>
  </si>
  <si>
    <t>Individual</t>
  </si>
  <si>
    <t>MP 2B</t>
  </si>
  <si>
    <t>Major</t>
  </si>
  <si>
    <t>III</t>
  </si>
  <si>
    <t>Major Project</t>
  </si>
  <si>
    <t>Dr. Prof. Vinayak Bharadi</t>
  </si>
  <si>
    <t>IOE</t>
  </si>
  <si>
    <t>DSHS</t>
  </si>
  <si>
    <t>Advanced Data Structures and Analysis</t>
  </si>
  <si>
    <t>PhD Guidance</t>
  </si>
  <si>
    <t>DSHS Lab (1 Batch)</t>
  </si>
  <si>
    <t>Prof. Santosh V. Jadhav</t>
  </si>
  <si>
    <t>AI DS-II</t>
  </si>
  <si>
    <t>Full stack Java</t>
  </si>
  <si>
    <t>Data Science Lab</t>
  </si>
  <si>
    <t>Full Stack Java (1-Batch)</t>
  </si>
  <si>
    <t>Prof. Mandar Joshi</t>
  </si>
  <si>
    <t>AIML</t>
  </si>
  <si>
    <t>AT</t>
  </si>
  <si>
    <t>Database Management System and Applications</t>
  </si>
  <si>
    <t>AIML Lab</t>
  </si>
  <si>
    <t>Automata Theory</t>
  </si>
  <si>
    <t>Prof. / S. Sankareswari</t>
  </si>
  <si>
    <t>ADSA</t>
  </si>
  <si>
    <t>MDM SEM V CSE</t>
  </si>
  <si>
    <t>Open Elective: Web Designing using Wordpress</t>
  </si>
  <si>
    <t>ADSA Lab</t>
  </si>
  <si>
    <t>SQL Lab</t>
  </si>
  <si>
    <t>IOE Lab (1 Batch)</t>
  </si>
  <si>
    <t>Prof. Amar Palwankar</t>
  </si>
  <si>
    <t>Web Technology</t>
  </si>
  <si>
    <t>MDM 1-TE</t>
  </si>
  <si>
    <t>Web Lab</t>
  </si>
  <si>
    <t>MDM EXTC TE Lab (1 Batch)</t>
  </si>
  <si>
    <t>Prof. /Atiya Kazi</t>
  </si>
  <si>
    <t>Full Stack Java (1-Batch)
CSE (CS)</t>
  </si>
  <si>
    <t>DOC3-IS</t>
  </si>
  <si>
    <t>SAD Lab</t>
  </si>
  <si>
    <t>MDM CSE TE Lab (2 Batch)</t>
  </si>
  <si>
    <t>Mini-Project - Full Stack Java Programming</t>
  </si>
  <si>
    <t>Prof. /Priyanka Fernandes</t>
  </si>
  <si>
    <t>Ent. Dev</t>
  </si>
  <si>
    <t>SEAP</t>
  </si>
  <si>
    <t>Ent Lab</t>
  </si>
  <si>
    <t>Entrepreneurship Development</t>
  </si>
  <si>
    <t>Environmental Science for Engineers</t>
  </si>
  <si>
    <t>Prof. Omkar Dike</t>
  </si>
  <si>
    <t>ILOC-1 (CSL)</t>
  </si>
  <si>
    <t>EVS</t>
  </si>
  <si>
    <t>ROSP Lab</t>
  </si>
  <si>
    <t>EVS Lab</t>
  </si>
  <si>
    <t>Full Stack Java</t>
  </si>
  <si>
    <t>V</t>
  </si>
  <si>
    <t>MDM SEM V EXTC TE Lab (1 Batch)</t>
  </si>
  <si>
    <t>NF1</t>
  </si>
  <si>
    <t>MDM 2</t>
  </si>
  <si>
    <t>Software Engineering and Agile Practices</t>
  </si>
  <si>
    <t>OE-Wordpress SE</t>
  </si>
  <si>
    <t>MDM EXTC TE Lab (2 Batch)</t>
  </si>
  <si>
    <t>IOE Lab (2 Batch)</t>
  </si>
  <si>
    <t>MDM SEM V CSE TE Lab (2 Batch)</t>
  </si>
  <si>
    <t>NF2</t>
  </si>
  <si>
    <t>DMS</t>
  </si>
  <si>
    <t>Artificial Intellegence and Machine Learning</t>
  </si>
  <si>
    <t>DOC4-IRS</t>
  </si>
  <si>
    <t>DevOps Lab</t>
  </si>
  <si>
    <t>NF3</t>
  </si>
  <si>
    <t>PEC1-ADT</t>
  </si>
  <si>
    <t>OE-TE</t>
  </si>
  <si>
    <t>Program Elective Course - I (Option 1)</t>
  </si>
  <si>
    <t>PEL1</t>
  </si>
  <si>
    <t>AI &amp; ML Lab</t>
  </si>
  <si>
    <t xml:space="preserve">Program Elective Course - I (Option 1) Lab </t>
  </si>
  <si>
    <t>Open Elective: Generative AI</t>
  </si>
  <si>
    <t>Prof. Ashish Vartak</t>
  </si>
  <si>
    <t>MDM SEM V EXTC</t>
  </si>
  <si>
    <t>VII</t>
  </si>
  <si>
    <t>OE-SEM III Wordpress</t>
  </si>
  <si>
    <t>MDM SEM V EXTC TE Lab (2 Batch)</t>
  </si>
  <si>
    <t>AI and DS –II</t>
  </si>
  <si>
    <r>
      <rPr>
        <rFont val="Arial"/>
        <b/>
        <color theme="1"/>
        <sz val="12.0"/>
      </rPr>
      <t xml:space="preserve">Prepared by:        </t>
    </r>
    <r>
      <rPr>
        <rFont val="Arial"/>
        <b val="0"/>
        <color theme="1"/>
        <sz val="12.0"/>
      </rPr>
      <t>Prof. Atiya Kazi</t>
    </r>
  </si>
  <si>
    <t>Prof. Shashank Tolye</t>
  </si>
  <si>
    <t>Verified by</t>
  </si>
  <si>
    <t>Dr. Vinayak Bharadi, HoD IT</t>
  </si>
  <si>
    <t>Full Stack Java Lab</t>
  </si>
  <si>
    <t>Prof. R. S. More</t>
  </si>
  <si>
    <t>DMSA</t>
  </si>
  <si>
    <t>IOE Lab
(2 Batches)</t>
  </si>
  <si>
    <t>Internet of Everything</t>
  </si>
  <si>
    <t>DLOC – 3 (Infrastructure Security)</t>
  </si>
  <si>
    <t>Prof. Madhura Zagade</t>
  </si>
  <si>
    <t>OE-SEM V Generative AI</t>
  </si>
  <si>
    <t>DLOC – 4 (Information Retrieval System)</t>
  </si>
  <si>
    <t>Institute Optional Course – 1 (Cyber Security and Law)</t>
  </si>
  <si>
    <t>IOE Lab</t>
  </si>
  <si>
    <t>Secure Application Development</t>
  </si>
  <si>
    <t xml:space="preserve">Recent Open Source Project Lab
</t>
  </si>
  <si>
    <t>Major Project - I</t>
  </si>
  <si>
    <t>TOTAL</t>
  </si>
  <si>
    <r>
      <rPr>
        <rFont val="Arial"/>
        <b/>
        <color theme="1"/>
        <sz val="12.0"/>
      </rPr>
      <t xml:space="preserve">Prepared by:        </t>
    </r>
    <r>
      <rPr>
        <rFont val="Arial"/>
        <b val="0"/>
        <color theme="1"/>
        <sz val="12.0"/>
      </rPr>
      <t>Prof. Atiya Kazi</t>
    </r>
  </si>
  <si>
    <t xml:space="preserve">Load of Honours and Minor course (Data Science) offered by IT Dept                        </t>
  </si>
  <si>
    <t>Data Science for Health and Social Care</t>
  </si>
  <si>
    <t>Data Science for Health and Social Care Lab</t>
  </si>
  <si>
    <t xml:space="preserve">Load of other Dept engaged by IT Dept                        </t>
  </si>
  <si>
    <t>Multidisciplinary Minor Course CSE</t>
  </si>
  <si>
    <t>Students of EXTC(33)+MECH(3)+CHEM(1)</t>
  </si>
  <si>
    <t>For Students of IT</t>
  </si>
  <si>
    <t>Multidisciplinary Minor Course EXTC</t>
  </si>
  <si>
    <t>Load of IT Dept engaged by other Dept</t>
  </si>
  <si>
    <t>FE</t>
  </si>
  <si>
    <t>Applied Mathematics Thinking - I</t>
  </si>
  <si>
    <t>Mathematics for Data Science (H&amp;M)</t>
  </si>
  <si>
    <t>Indian Knowledge System</t>
  </si>
  <si>
    <t>Exclusive load of IT Department</t>
  </si>
  <si>
    <t>PR</t>
  </si>
  <si>
    <t>TO</t>
  </si>
  <si>
    <t>The teaching load which the department can handle per semester</t>
  </si>
  <si>
    <t>HOD</t>
  </si>
  <si>
    <t>ASO PR</t>
  </si>
  <si>
    <t>ASS PR</t>
  </si>
  <si>
    <t>Strength</t>
  </si>
  <si>
    <t>LOAD</t>
  </si>
  <si>
    <t>Maximum load the dept can handle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</si>
</sst>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horizontal="center" shrinkToFit="0" vertical="bottom" wrapText="1"/>
    </xf>
    <xf borderId="1" fillId="0" fontId="8" numFmtId="0" xfId="0" applyAlignment="1" applyBorder="1" applyFont="1">
      <alignment vertical="center"/>
    </xf>
    <xf borderId="0" fillId="0" fontId="3" numFmtId="0" xfId="0" applyAlignment="1" applyFont="1">
      <alignment horizontal="center" readingOrder="0" shrinkToFit="0" wrapText="1"/>
    </xf>
    <xf borderId="2" fillId="0" fontId="9" numFmtId="0" xfId="0" applyBorder="1" applyFont="1"/>
    <xf borderId="3" fillId="0" fontId="9" numFmtId="0" xfId="0" applyBorder="1" applyFont="1"/>
    <xf borderId="4" fillId="0" fontId="8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shrinkToFit="0" vertical="center" wrapText="1"/>
    </xf>
    <xf borderId="6" fillId="0" fontId="9" numFmtId="0" xfId="0" applyBorder="1" applyFont="1"/>
    <xf borderId="0" fillId="0" fontId="4" numFmtId="0" xfId="0" applyAlignment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shrinkToFit="0" wrapText="1"/>
    </xf>
    <xf borderId="7" fillId="0" fontId="5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center"/>
    </xf>
    <xf borderId="7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/>
    </xf>
    <xf borderId="0" fillId="0" fontId="5" numFmtId="0" xfId="0" applyAlignment="1" applyFont="1">
      <alignment shrinkToFit="0" vertical="center" wrapText="1"/>
    </xf>
    <xf borderId="7" fillId="0" fontId="5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/>
    </xf>
    <xf borderId="4" fillId="0" fontId="9" numFmtId="0" xfId="0" applyBorder="1" applyFont="1"/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readingOrder="0" shrinkToFit="0" wrapText="1"/>
    </xf>
    <xf borderId="7" fillId="2" fontId="10" numFmtId="0" xfId="0" applyAlignment="1" applyBorder="1" applyFill="1" applyFont="1">
      <alignment shrinkToFit="0" wrapText="1"/>
    </xf>
    <xf borderId="7" fillId="2" fontId="2" numFmtId="0" xfId="0" applyBorder="1" applyFill="1" applyFont="1"/>
    <xf borderId="7" fillId="2" fontId="10" numFmtId="0" xfId="0" applyAlignment="1" applyBorder="1" applyFill="1" applyFont="1">
      <alignment horizontal="center"/>
    </xf>
    <xf borderId="7" fillId="2" fontId="10" numFmtId="0" xfId="0" applyAlignment="1" applyBorder="1" applyFill="1" applyFont="1">
      <alignment horizontal="center" shrinkToFit="0" wrapText="1"/>
    </xf>
    <xf borderId="7" fillId="2" fontId="8" numFmtId="0" xfId="0" applyAlignment="1" applyBorder="1" applyFill="1" applyFont="1">
      <alignment horizontal="center"/>
    </xf>
    <xf borderId="7" fillId="3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0" fillId="0" fontId="5" numFmtId="0" xfId="0" applyAlignment="1" applyFont="1">
      <alignment shrinkToFit="0" wrapText="1"/>
    </xf>
    <xf borderId="7" fillId="2" fontId="10" numFmtId="0" xfId="0" applyAlignment="1" applyBorder="1" applyFill="1" applyFont="1">
      <alignment horizontal="center" readingOrder="0" shrinkToFit="0" wrapText="1"/>
    </xf>
    <xf borderId="6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shrinkToFit="0" wrapText="1"/>
    </xf>
    <xf borderId="7" fillId="0" fontId="10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vertical="bottom"/>
    </xf>
    <xf borderId="9" fillId="0" fontId="8" numFmtId="0" xfId="0" applyAlignment="1" applyBorder="1" applyFont="1">
      <alignment horizontal="right" shrinkToFit="0" vertical="center" wrapText="1"/>
    </xf>
    <xf borderId="10" fillId="0" fontId="9" numFmtId="0" xfId="0" applyBorder="1" applyFont="1"/>
    <xf borderId="0" fillId="0" fontId="7" numFmtId="0" xfId="0" applyAlignment="1" applyFont="1">
      <alignment shrinkToFit="0" vertical="bottom" wrapText="1"/>
    </xf>
    <xf borderId="11" fillId="0" fontId="9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right" shrinkToFit="0" vertical="bottom" wrapText="1"/>
    </xf>
    <xf borderId="8" fillId="0" fontId="10" numFmtId="0" xfId="0" applyAlignment="1" applyBorder="1" applyFont="1">
      <alignment horizontal="center" shrinkToFit="0" wrapText="1"/>
    </xf>
    <xf borderId="9" fillId="0" fontId="2" numFmtId="0" xfId="0" applyBorder="1" applyFont="1"/>
    <xf borderId="8" fillId="0" fontId="8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shrinkToFit="0" vertical="center" wrapText="1"/>
    </xf>
    <xf borderId="7" fillId="2" fontId="8" numFmtId="0" xfId="0" applyAlignment="1" applyBorder="1" applyFill="1" applyFont="1">
      <alignment horizontal="center" shrinkToFit="0" wrapText="1"/>
    </xf>
    <xf borderId="5" fillId="0" fontId="10" numFmtId="0" xfId="0" applyAlignment="1" applyBorder="1" applyFont="1">
      <alignment readingOrder="0" shrinkToFit="0" wrapText="1"/>
    </xf>
    <xf borderId="5" fillId="0" fontId="2" numFmtId="0" xfId="0" applyBorder="1" applyFont="1"/>
    <xf borderId="5" fillId="0" fontId="8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6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vertical="bottom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7" fillId="2" fontId="10" numFmtId="0" xfId="0" applyAlignment="1" applyBorder="1" applyFill="1" applyFont="1">
      <alignment readingOrder="0" shrinkToFit="0" wrapText="1"/>
    </xf>
    <xf borderId="6" fillId="2" fontId="10" numFmtId="0" xfId="0" applyAlignment="1" applyBorder="1" applyFill="1" applyFont="1">
      <alignment horizontal="center"/>
    </xf>
    <xf borderId="12" fillId="2" fontId="10" numFmtId="0" xfId="0" applyAlignment="1" applyBorder="1" applyFill="1" applyFont="1">
      <alignment horizontal="center"/>
    </xf>
    <xf borderId="12" fillId="2" fontId="10" numFmtId="0" xfId="0" applyAlignment="1" applyBorder="1" applyFill="1" applyFont="1">
      <alignment horizontal="center" shrinkToFit="0" wrapText="1"/>
    </xf>
    <xf borderId="12" fillId="2" fontId="8" numFmtId="0" xfId="0" applyAlignment="1" applyBorder="1" applyFill="1" applyFont="1">
      <alignment horizontal="center" shrinkToFit="0" wrapText="1"/>
    </xf>
    <xf borderId="13" fillId="0" fontId="8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7" fillId="0" fontId="2" numFmtId="0" xfId="0" applyAlignment="1" applyBorder="1" applyFont="1">
      <alignment shrinkToFit="0" wrapText="1"/>
    </xf>
    <xf borderId="12" fillId="0" fontId="10" numFmtId="0" xfId="0" applyAlignment="1" applyBorder="1" applyFont="1">
      <alignment horizontal="center" shrinkToFit="0" wrapText="1"/>
    </xf>
    <xf borderId="12" fillId="0" fontId="8" numFmtId="0" xfId="0" applyAlignment="1" applyBorder="1" applyFont="1">
      <alignment horizontal="center" shrinkToFit="0" wrapText="1"/>
    </xf>
    <xf borderId="14" fillId="0" fontId="8" numFmtId="0" xfId="0" applyAlignment="1" applyBorder="1" applyFont="1">
      <alignment horizontal="right" shrinkToFit="0" vertical="center" wrapText="1"/>
    </xf>
    <xf borderId="15" fillId="0" fontId="9" numFmtId="0" xfId="0" applyBorder="1" applyFont="1"/>
    <xf borderId="16" fillId="0" fontId="9" numFmtId="0" xfId="0" applyBorder="1" applyFont="1"/>
    <xf borderId="14" fillId="0" fontId="2" numFmtId="0" xfId="0" applyBorder="1" applyFont="1"/>
    <xf borderId="7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right" shrinkToFit="0" vertical="center" wrapText="1"/>
    </xf>
    <xf borderId="1" fillId="0" fontId="2" numFmtId="0" xfId="0" applyBorder="1" applyFont="1"/>
    <xf borderId="17" fillId="0" fontId="8" numFmtId="0" xfId="0" applyAlignment="1" applyBorder="1" applyFont="1">
      <alignment shrinkToFit="0" vertical="center" wrapText="1"/>
    </xf>
    <xf borderId="18" fillId="0" fontId="9" numFmtId="0" xfId="0" applyBorder="1" applyFont="1"/>
    <xf borderId="19" fillId="0" fontId="2" numFmtId="0" xfId="0" applyAlignment="1" applyBorder="1" applyFont="1">
      <alignment vertical="center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horizontal="center"/>
    </xf>
    <xf borderId="0" fillId="0" fontId="1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85725</xdr:rowOff>
    </xdr:from>
    <xdr:ext cx="657225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2.0"/>
    <col customWidth="1" min="3" max="3" width="15.75"/>
    <col customWidth="1" min="4" max="4" width="6.25"/>
    <col customWidth="1" min="5" max="5" width="15.38"/>
    <col customWidth="1" min="6" max="6" width="6.88"/>
    <col customWidth="1" min="7" max="7" width="6.0"/>
    <col customWidth="1" min="8" max="8" width="18.38"/>
    <col customWidth="1" min="9" max="9" width="10.75"/>
    <col customWidth="1" min="10" max="10" width="19.13"/>
    <col customWidth="1" min="11" max="11" width="6.38"/>
    <col customWidth="1" min="12" max="12" width="18.25"/>
    <col customWidth="1" min="13" max="13" width="6.5"/>
    <col customWidth="1" min="14" max="14" width="7.75"/>
    <col customWidth="1" hidden="1" min="15" max="15" width="6.88"/>
    <col customWidth="1" hidden="1" min="16" max="16" width="7.38"/>
    <col customWidth="1" hidden="1" min="17" max="17" width="7.25"/>
    <col customWidth="1" min="18" max="18" width="11.5"/>
    <col customWidth="1" min="19" max="37" width="7.63"/>
  </cols>
  <sheetData>
    <row r="1">
      <c r="A1" s="4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4" t="s">
        <v>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4" t="s">
        <v>2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13" t="s">
        <v>3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ht="27.75" customHeight="1">
      <c r="A5" s="18" t="s">
        <v>4</v>
      </c>
      <c r="B5" s="19" t="s">
        <v>6</v>
      </c>
      <c r="C5" s="22" t="s">
        <v>8</v>
      </c>
      <c r="D5" s="14"/>
      <c r="E5" s="14"/>
      <c r="F5" s="14"/>
      <c r="G5" s="15"/>
      <c r="H5" s="22" t="s">
        <v>10</v>
      </c>
      <c r="I5" s="14"/>
      <c r="J5" s="14"/>
      <c r="K5" s="14"/>
      <c r="L5" s="14"/>
      <c r="M5" s="14"/>
      <c r="N5" s="15"/>
      <c r="O5" s="22"/>
      <c r="P5" s="14"/>
      <c r="Q5" s="15"/>
      <c r="R5" s="25" t="s">
        <v>15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37.5" customHeight="1">
      <c r="A6" s="27"/>
      <c r="B6" s="27"/>
      <c r="C6" s="29" t="s">
        <v>19</v>
      </c>
      <c r="D6" s="29" t="s">
        <v>20</v>
      </c>
      <c r="E6" s="29" t="s">
        <v>21</v>
      </c>
      <c r="F6" s="29" t="s">
        <v>20</v>
      </c>
      <c r="G6" s="32" t="s">
        <v>16</v>
      </c>
      <c r="H6" s="29" t="s">
        <v>19</v>
      </c>
      <c r="I6" s="29" t="s">
        <v>20</v>
      </c>
      <c r="J6" s="29" t="s">
        <v>21</v>
      </c>
      <c r="K6" s="29" t="s">
        <v>20</v>
      </c>
      <c r="L6" s="29" t="s">
        <v>22</v>
      </c>
      <c r="M6" s="29" t="s">
        <v>20</v>
      </c>
      <c r="N6" s="32" t="s">
        <v>16</v>
      </c>
      <c r="O6" s="29" t="s">
        <v>24</v>
      </c>
      <c r="P6" s="29" t="s">
        <v>25</v>
      </c>
      <c r="Q6" s="29" t="s">
        <v>16</v>
      </c>
      <c r="R6" s="27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34.5" customHeight="1">
      <c r="A7" s="35">
        <v>1.0</v>
      </c>
      <c r="B7" s="38" t="s">
        <v>28</v>
      </c>
      <c r="C7" s="39" t="s">
        <v>29</v>
      </c>
      <c r="D7" s="39">
        <v>3.0</v>
      </c>
      <c r="E7" s="39" t="s">
        <v>30</v>
      </c>
      <c r="F7" s="39">
        <v>4.0</v>
      </c>
      <c r="G7" s="35">
        <f t="shared" ref="G7:G17" si="1">sum(D7,F7)</f>
        <v>7</v>
      </c>
      <c r="H7" s="39" t="s">
        <v>32</v>
      </c>
      <c r="I7" s="39">
        <v>2.0</v>
      </c>
      <c r="J7" s="35"/>
      <c r="K7" s="35"/>
      <c r="L7" s="35"/>
      <c r="M7" s="35"/>
      <c r="N7" s="35">
        <f t="shared" ref="N7:N17" si="2">sum(I7,K7,M7)</f>
        <v>2</v>
      </c>
      <c r="O7" s="35"/>
      <c r="P7" s="39">
        <v>0.5</v>
      </c>
      <c r="Q7" s="39">
        <v>1.0</v>
      </c>
      <c r="R7" s="35">
        <f t="shared" ref="R7:R17" si="3">sum(G7,N7,Q7)</f>
        <v>10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</row>
    <row r="8" ht="32.25" customHeight="1">
      <c r="A8" s="35">
        <v>2.0</v>
      </c>
      <c r="B8" s="38" t="s">
        <v>34</v>
      </c>
      <c r="C8" s="39" t="s">
        <v>35</v>
      </c>
      <c r="D8" s="39">
        <v>3.0</v>
      </c>
      <c r="E8" s="39" t="s">
        <v>36</v>
      </c>
      <c r="F8" s="39">
        <v>2.0</v>
      </c>
      <c r="G8" s="35">
        <f t="shared" si="1"/>
        <v>5</v>
      </c>
      <c r="H8" s="39" t="s">
        <v>37</v>
      </c>
      <c r="I8" s="39">
        <v>6.0</v>
      </c>
      <c r="J8" s="52" t="s">
        <v>38</v>
      </c>
      <c r="K8" s="39">
        <v>2.0</v>
      </c>
      <c r="L8" s="35"/>
      <c r="M8" s="35"/>
      <c r="N8" s="35">
        <f t="shared" si="2"/>
        <v>8</v>
      </c>
      <c r="O8" s="39"/>
      <c r="P8" s="39">
        <v>1.0</v>
      </c>
      <c r="Q8" s="35">
        <f t="shared" ref="Q8:Q10" si="4">sum(O8,P8)</f>
        <v>1</v>
      </c>
      <c r="R8" s="35">
        <f t="shared" si="3"/>
        <v>14</v>
      </c>
      <c r="S8" s="51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ht="36.0" customHeight="1">
      <c r="A9" s="35">
        <v>3.0</v>
      </c>
      <c r="B9" s="38" t="s">
        <v>39</v>
      </c>
      <c r="C9" s="39" t="s">
        <v>40</v>
      </c>
      <c r="D9" s="39">
        <v>3.0</v>
      </c>
      <c r="E9" s="39" t="s">
        <v>41</v>
      </c>
      <c r="F9" s="39">
        <v>3.0</v>
      </c>
      <c r="G9" s="35">
        <f t="shared" si="1"/>
        <v>6</v>
      </c>
      <c r="H9" s="39" t="s">
        <v>43</v>
      </c>
      <c r="I9" s="39">
        <v>8.0</v>
      </c>
      <c r="J9" s="52" t="s">
        <v>38</v>
      </c>
      <c r="K9" s="39">
        <v>2.0</v>
      </c>
      <c r="L9" s="35"/>
      <c r="M9" s="35"/>
      <c r="N9" s="35">
        <f t="shared" si="2"/>
        <v>10</v>
      </c>
      <c r="O9" s="35"/>
      <c r="P9" s="39">
        <v>1.0</v>
      </c>
      <c r="Q9" s="35">
        <f t="shared" si="4"/>
        <v>1</v>
      </c>
      <c r="R9" s="35">
        <f t="shared" si="3"/>
        <v>17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</row>
    <row r="10" ht="36.0" customHeight="1">
      <c r="A10" s="35">
        <v>4.0</v>
      </c>
      <c r="B10" s="38" t="s">
        <v>45</v>
      </c>
      <c r="C10" s="57" t="s">
        <v>46</v>
      </c>
      <c r="D10" s="39">
        <v>3.0</v>
      </c>
      <c r="E10" s="39"/>
      <c r="F10" s="57"/>
      <c r="G10" s="35">
        <f t="shared" si="1"/>
        <v>3</v>
      </c>
      <c r="H10" s="39" t="s">
        <v>49</v>
      </c>
      <c r="I10" s="39">
        <v>8.0</v>
      </c>
      <c r="J10" s="39" t="s">
        <v>50</v>
      </c>
      <c r="K10" s="39">
        <v>4.0</v>
      </c>
      <c r="L10" s="39" t="s">
        <v>51</v>
      </c>
      <c r="M10" s="39">
        <v>2.0</v>
      </c>
      <c r="N10" s="35">
        <f t="shared" si="2"/>
        <v>14</v>
      </c>
      <c r="O10" s="35"/>
      <c r="P10" s="39">
        <v>1.0</v>
      </c>
      <c r="Q10" s="35">
        <f t="shared" si="4"/>
        <v>1</v>
      </c>
      <c r="R10" s="35">
        <f t="shared" si="3"/>
        <v>18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</row>
    <row r="11" ht="32.25" customHeight="1">
      <c r="A11" s="35">
        <v>5.0</v>
      </c>
      <c r="B11" s="38" t="s">
        <v>52</v>
      </c>
      <c r="C11" s="39" t="s">
        <v>53</v>
      </c>
      <c r="D11" s="39">
        <v>3.0</v>
      </c>
      <c r="E11" s="39" t="s">
        <v>54</v>
      </c>
      <c r="F11" s="39">
        <v>3.0</v>
      </c>
      <c r="G11" s="35">
        <f t="shared" si="1"/>
        <v>6</v>
      </c>
      <c r="H11" s="39" t="s">
        <v>55</v>
      </c>
      <c r="I11" s="39">
        <v>8.0</v>
      </c>
      <c r="J11" s="39" t="s">
        <v>56</v>
      </c>
      <c r="K11" s="39">
        <v>2.0</v>
      </c>
      <c r="L11" s="35"/>
      <c r="M11" s="35"/>
      <c r="N11" s="35">
        <f t="shared" si="2"/>
        <v>10</v>
      </c>
      <c r="O11" s="35"/>
      <c r="P11" s="39">
        <v>1.0</v>
      </c>
      <c r="Q11" s="39">
        <v>1.0</v>
      </c>
      <c r="R11" s="35">
        <f t="shared" si="3"/>
        <v>17</v>
      </c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</row>
    <row r="12" ht="32.25" customHeight="1">
      <c r="A12" s="35">
        <v>6.0</v>
      </c>
      <c r="B12" s="38" t="s">
        <v>57</v>
      </c>
      <c r="C12" s="39" t="s">
        <v>59</v>
      </c>
      <c r="D12" s="39">
        <v>3.0</v>
      </c>
      <c r="E12" s="39"/>
      <c r="F12" s="39"/>
      <c r="G12" s="35">
        <f t="shared" si="1"/>
        <v>3</v>
      </c>
      <c r="H12" s="39" t="s">
        <v>60</v>
      </c>
      <c r="I12" s="39">
        <v>6.0</v>
      </c>
      <c r="J12" s="39" t="s">
        <v>50</v>
      </c>
      <c r="K12" s="39">
        <v>4.0</v>
      </c>
      <c r="L12" s="39" t="s">
        <v>61</v>
      </c>
      <c r="M12" s="39">
        <v>4.0</v>
      </c>
      <c r="N12" s="35">
        <f t="shared" si="2"/>
        <v>14</v>
      </c>
      <c r="O12" s="39"/>
      <c r="P12" s="39">
        <v>1.0</v>
      </c>
      <c r="Q12" s="35">
        <f t="shared" ref="Q12:Q17" si="5">sum(O12,P12)</f>
        <v>1</v>
      </c>
      <c r="R12" s="35">
        <f t="shared" si="3"/>
        <v>18</v>
      </c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</row>
    <row r="13" ht="60.0" customHeight="1">
      <c r="A13" s="35">
        <v>7.0</v>
      </c>
      <c r="B13" s="38" t="s">
        <v>63</v>
      </c>
      <c r="C13" s="39" t="s">
        <v>64</v>
      </c>
      <c r="D13" s="39">
        <v>2.0</v>
      </c>
      <c r="E13" s="39" t="s">
        <v>65</v>
      </c>
      <c r="F13" s="39">
        <v>3.0</v>
      </c>
      <c r="G13" s="35">
        <f t="shared" si="1"/>
        <v>5</v>
      </c>
      <c r="H13" s="39" t="s">
        <v>66</v>
      </c>
      <c r="I13" s="39">
        <v>8.0</v>
      </c>
      <c r="J13" s="39" t="s">
        <v>33</v>
      </c>
      <c r="K13" s="39">
        <v>4.0</v>
      </c>
      <c r="L13" s="35"/>
      <c r="M13" s="35"/>
      <c r="N13" s="35">
        <f t="shared" si="2"/>
        <v>12</v>
      </c>
      <c r="O13" s="39"/>
      <c r="P13" s="39">
        <v>1.0</v>
      </c>
      <c r="Q13" s="35">
        <f t="shared" si="5"/>
        <v>1</v>
      </c>
      <c r="R13" s="35">
        <f t="shared" si="3"/>
        <v>18</v>
      </c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</row>
    <row r="14" ht="32.25" customHeight="1">
      <c r="A14" s="35">
        <v>8.0</v>
      </c>
      <c r="B14" s="38" t="s">
        <v>69</v>
      </c>
      <c r="C14" s="39" t="s">
        <v>70</v>
      </c>
      <c r="D14" s="39">
        <v>3.0</v>
      </c>
      <c r="E14" s="39" t="s">
        <v>71</v>
      </c>
      <c r="F14" s="39">
        <v>2.0</v>
      </c>
      <c r="G14" s="35">
        <f t="shared" si="1"/>
        <v>5</v>
      </c>
      <c r="H14" s="39" t="s">
        <v>72</v>
      </c>
      <c r="I14" s="39">
        <v>6.0</v>
      </c>
      <c r="J14" s="39" t="s">
        <v>73</v>
      </c>
      <c r="K14" s="39">
        <v>6.0</v>
      </c>
      <c r="L14" s="35"/>
      <c r="M14" s="35"/>
      <c r="N14" s="35">
        <f t="shared" si="2"/>
        <v>12</v>
      </c>
      <c r="O14" s="35"/>
      <c r="P14" s="39">
        <v>1.0</v>
      </c>
      <c r="Q14" s="35">
        <f t="shared" si="5"/>
        <v>1</v>
      </c>
      <c r="R14" s="35">
        <f t="shared" si="3"/>
        <v>18</v>
      </c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</row>
    <row r="15" ht="33.0" customHeight="1">
      <c r="A15" s="35">
        <v>9.0</v>
      </c>
      <c r="B15" s="52" t="s">
        <v>77</v>
      </c>
      <c r="C15" s="39" t="s">
        <v>78</v>
      </c>
      <c r="D15" s="71">
        <v>3.0</v>
      </c>
      <c r="E15" s="39" t="s">
        <v>80</v>
      </c>
      <c r="F15" s="39">
        <v>2.0</v>
      </c>
      <c r="G15" s="35">
        <f t="shared" si="1"/>
        <v>5</v>
      </c>
      <c r="H15" s="39" t="s">
        <v>81</v>
      </c>
      <c r="I15" s="39">
        <v>4.0</v>
      </c>
      <c r="J15" s="39" t="s">
        <v>73</v>
      </c>
      <c r="K15" s="39">
        <v>2.0</v>
      </c>
      <c r="L15" s="39" t="s">
        <v>82</v>
      </c>
      <c r="M15" s="39">
        <v>4.0</v>
      </c>
      <c r="N15" s="35">
        <f t="shared" si="2"/>
        <v>10</v>
      </c>
      <c r="O15" s="35"/>
      <c r="P15" s="39">
        <v>1.0</v>
      </c>
      <c r="Q15" s="35">
        <f t="shared" si="5"/>
        <v>1</v>
      </c>
      <c r="R15" s="35">
        <f t="shared" si="3"/>
        <v>16</v>
      </c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</row>
    <row r="16" ht="31.5" customHeight="1">
      <c r="A16" s="35">
        <v>10.0</v>
      </c>
      <c r="B16" s="52" t="s">
        <v>84</v>
      </c>
      <c r="C16" s="39" t="s">
        <v>85</v>
      </c>
      <c r="D16" s="39">
        <v>3.0</v>
      </c>
      <c r="E16" s="39" t="s">
        <v>87</v>
      </c>
      <c r="F16" s="39">
        <v>3.0</v>
      </c>
      <c r="G16" s="35">
        <f t="shared" si="1"/>
        <v>6</v>
      </c>
      <c r="H16" s="39" t="s">
        <v>88</v>
      </c>
      <c r="I16" s="39">
        <v>8.0</v>
      </c>
      <c r="J16" s="52" t="s">
        <v>38</v>
      </c>
      <c r="K16" s="72">
        <v>2.0</v>
      </c>
      <c r="L16" s="39"/>
      <c r="M16" s="35"/>
      <c r="N16" s="35">
        <f t="shared" si="2"/>
        <v>10</v>
      </c>
      <c r="O16" s="39"/>
      <c r="P16" s="39">
        <v>1.0</v>
      </c>
      <c r="Q16" s="35">
        <f t="shared" si="5"/>
        <v>1</v>
      </c>
      <c r="R16" s="35">
        <f t="shared" si="3"/>
        <v>17</v>
      </c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</row>
    <row r="17" ht="35.25" customHeight="1">
      <c r="A17" s="35">
        <v>11.0</v>
      </c>
      <c r="B17" s="52" t="s">
        <v>89</v>
      </c>
      <c r="C17" s="39" t="s">
        <v>90</v>
      </c>
      <c r="D17" s="39">
        <v>3.0</v>
      </c>
      <c r="E17" s="39" t="s">
        <v>91</v>
      </c>
      <c r="F17" s="39">
        <v>2.0</v>
      </c>
      <c r="G17" s="35">
        <f t="shared" si="1"/>
        <v>5</v>
      </c>
      <c r="H17" s="39" t="s">
        <v>93</v>
      </c>
      <c r="I17" s="39">
        <v>8.0</v>
      </c>
      <c r="J17" s="39" t="s">
        <v>56</v>
      </c>
      <c r="K17" s="39">
        <v>2.0</v>
      </c>
      <c r="L17" s="52" t="s">
        <v>38</v>
      </c>
      <c r="M17" s="39">
        <v>2.0</v>
      </c>
      <c r="N17" s="35">
        <f t="shared" si="2"/>
        <v>12</v>
      </c>
      <c r="O17" s="35"/>
      <c r="P17" s="39">
        <v>1.0</v>
      </c>
      <c r="Q17" s="35">
        <f t="shared" si="5"/>
        <v>1</v>
      </c>
      <c r="R17" s="35">
        <f t="shared" si="3"/>
        <v>18</v>
      </c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</row>
    <row r="18" ht="27.75" customHeight="1">
      <c r="A18" s="73"/>
      <c r="B18" s="73"/>
      <c r="C18" s="73"/>
      <c r="D18" s="73"/>
      <c r="E18" s="73"/>
      <c r="F18" s="73"/>
      <c r="G18" s="29">
        <f>SUM(G7:G17)</f>
        <v>56</v>
      </c>
      <c r="H18" s="73"/>
      <c r="I18" s="73"/>
      <c r="J18" s="73"/>
      <c r="K18" s="73"/>
      <c r="L18" s="73"/>
      <c r="M18" s="73"/>
      <c r="N18" s="29">
        <f>SUM(N7:N17)</f>
        <v>114</v>
      </c>
      <c r="O18" s="57"/>
      <c r="P18" s="73"/>
      <c r="Q18" s="29">
        <f t="shared" ref="Q18:R18" si="6">SUM(Q7:Q17)</f>
        <v>11</v>
      </c>
      <c r="R18" s="29">
        <f t="shared" si="6"/>
        <v>181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27.7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ht="35.25" customHeight="1">
      <c r="A20" s="76" t="s">
        <v>103</v>
      </c>
      <c r="D20" s="77" t="s">
        <v>104</v>
      </c>
      <c r="G20" s="73"/>
      <c r="H20" s="78" t="s">
        <v>105</v>
      </c>
      <c r="I20" s="77" t="s">
        <v>106</v>
      </c>
      <c r="N20" s="73"/>
      <c r="O20" s="73"/>
      <c r="P20" s="73"/>
      <c r="Q20" s="73"/>
      <c r="R20" s="7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ht="15.75" customHeight="1">
      <c r="A22" s="79"/>
      <c r="B22" s="6"/>
      <c r="C22" s="6"/>
      <c r="D22" s="77"/>
      <c r="H22" s="6"/>
      <c r="I22" s="77"/>
      <c r="L22" s="6"/>
      <c r="M22" s="77"/>
      <c r="P22" s="77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5.75" customHeight="1">
      <c r="A23" s="6"/>
      <c r="B23" s="6"/>
      <c r="C23" s="6"/>
      <c r="D23" s="4"/>
      <c r="J23" s="4"/>
      <c r="K23" s="4"/>
      <c r="L23" s="6"/>
      <c r="M23" s="4"/>
      <c r="O23" s="6"/>
      <c r="P23" s="4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</sheetData>
  <mergeCells count="20">
    <mergeCell ref="H5:N5"/>
    <mergeCell ref="O5:Q5"/>
    <mergeCell ref="A1:R1"/>
    <mergeCell ref="A2:R2"/>
    <mergeCell ref="A3:R3"/>
    <mergeCell ref="A4:R4"/>
    <mergeCell ref="A5:A6"/>
    <mergeCell ref="C5:G5"/>
    <mergeCell ref="R5:R6"/>
    <mergeCell ref="D22:G22"/>
    <mergeCell ref="D23:G23"/>
    <mergeCell ref="M23:N23"/>
    <mergeCell ref="P23:R23"/>
    <mergeCell ref="B5:B6"/>
    <mergeCell ref="A20:C20"/>
    <mergeCell ref="D20:F20"/>
    <mergeCell ref="I20:M20"/>
    <mergeCell ref="I22:K22"/>
    <mergeCell ref="M22:O22"/>
    <mergeCell ref="P22:R22"/>
  </mergeCells>
  <printOptions/>
  <pageMargins bottom="0.16769497685018842" footer="0.0" header="0.0" left="0.23230953746675712" right="0.15244997895471674" top="0.3973320082562496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6.0"/>
    <col customWidth="1" min="4" max="4" width="7.5"/>
    <col customWidth="1" min="6" max="6" width="8.25"/>
    <col customWidth="1" min="7" max="7" width="8.13"/>
    <col customWidth="1" min="9" max="9" width="7.75"/>
    <col customWidth="1" min="10" max="10" width="13.75"/>
    <col customWidth="1" min="11" max="11" width="7.88"/>
    <col customWidth="1" min="13" max="13" width="7.25"/>
    <col customWidth="1" min="14" max="14" width="7.88"/>
    <col hidden="1" min="15" max="15" width="12.63"/>
    <col customWidth="1" min="16" max="16" width="10.63"/>
    <col customWidth="1" hidden="1" min="17" max="17" width="10.13"/>
  </cols>
  <sheetData>
    <row r="1">
      <c r="A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11" t="s">
        <v>0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>
      <c r="A3" s="11" t="s">
        <v>2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>
      <c r="A4" s="11" t="s">
        <v>3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7.0" customHeight="1">
      <c r="A5" s="17" t="s">
        <v>4</v>
      </c>
      <c r="B5" s="17" t="s">
        <v>6</v>
      </c>
      <c r="C5" s="21" t="s">
        <v>8</v>
      </c>
      <c r="D5" s="14"/>
      <c r="E5" s="14"/>
      <c r="F5" s="14"/>
      <c r="G5" s="15"/>
      <c r="H5" s="21" t="s">
        <v>10</v>
      </c>
      <c r="I5" s="14"/>
      <c r="J5" s="14"/>
      <c r="K5" s="14"/>
      <c r="L5" s="14"/>
      <c r="M5" s="14"/>
      <c r="N5" s="15"/>
      <c r="O5" s="24"/>
      <c r="P5" s="14"/>
      <c r="Q5" s="15"/>
      <c r="R5" s="17" t="s">
        <v>15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>
      <c r="A6" s="27"/>
      <c r="B6" s="27"/>
      <c r="C6" s="31" t="s">
        <v>19</v>
      </c>
      <c r="D6" s="31" t="s">
        <v>20</v>
      </c>
      <c r="E6" s="31" t="s">
        <v>21</v>
      </c>
      <c r="F6" s="31" t="s">
        <v>20</v>
      </c>
      <c r="G6" s="34" t="s">
        <v>16</v>
      </c>
      <c r="H6" s="31" t="s">
        <v>19</v>
      </c>
      <c r="I6" s="31" t="s">
        <v>20</v>
      </c>
      <c r="J6" s="31" t="s">
        <v>21</v>
      </c>
      <c r="K6" s="31" t="s">
        <v>20</v>
      </c>
      <c r="L6" s="31" t="s">
        <v>22</v>
      </c>
      <c r="M6" s="31" t="s">
        <v>20</v>
      </c>
      <c r="N6" s="34" t="s">
        <v>16</v>
      </c>
      <c r="O6" s="31" t="s">
        <v>24</v>
      </c>
      <c r="P6" s="37" t="s">
        <v>27</v>
      </c>
      <c r="Q6" s="31" t="s">
        <v>16</v>
      </c>
      <c r="R6" s="27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</row>
    <row r="7">
      <c r="A7" s="41">
        <v>1.0</v>
      </c>
      <c r="B7" s="45" t="s">
        <v>28</v>
      </c>
      <c r="C7" s="46" t="s">
        <v>29</v>
      </c>
      <c r="D7" s="46">
        <v>3.0</v>
      </c>
      <c r="E7" s="46" t="s">
        <v>30</v>
      </c>
      <c r="F7" s="46">
        <v>4.0</v>
      </c>
      <c r="G7" s="46">
        <f t="shared" ref="G7:G18" si="1">sum(D7,F7)</f>
        <v>7</v>
      </c>
      <c r="H7" s="46" t="s">
        <v>32</v>
      </c>
      <c r="I7" s="46">
        <v>2.0</v>
      </c>
      <c r="J7" s="46" t="s">
        <v>33</v>
      </c>
      <c r="K7" s="48">
        <v>4.0</v>
      </c>
      <c r="L7" s="49"/>
      <c r="M7" s="49"/>
      <c r="N7" s="46">
        <f t="shared" ref="N7:N18" si="2">sum(I7,K7,M7)</f>
        <v>6</v>
      </c>
      <c r="O7" s="49"/>
      <c r="P7" s="46">
        <v>0.5</v>
      </c>
      <c r="Q7" s="46">
        <f t="shared" ref="Q7:Q18" si="3">sum(O7,P7)</f>
        <v>0.5</v>
      </c>
      <c r="R7" s="46">
        <f t="shared" ref="R7:R18" si="4">sum(G7,N7,Q7)</f>
        <v>13.5</v>
      </c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</row>
    <row r="8">
      <c r="A8" s="41">
        <v>2.0</v>
      </c>
      <c r="B8" s="45" t="s">
        <v>34</v>
      </c>
      <c r="C8" s="46" t="s">
        <v>35</v>
      </c>
      <c r="D8" s="46">
        <v>3.0</v>
      </c>
      <c r="E8" s="58" t="s">
        <v>47</v>
      </c>
      <c r="F8" s="58">
        <v>3.0</v>
      </c>
      <c r="G8" s="46">
        <f t="shared" si="1"/>
        <v>6</v>
      </c>
      <c r="H8" s="46" t="s">
        <v>37</v>
      </c>
      <c r="I8" s="46">
        <v>6.0</v>
      </c>
      <c r="J8" s="49"/>
      <c r="K8" s="49"/>
      <c r="L8" s="49"/>
      <c r="M8" s="49"/>
      <c r="N8" s="46">
        <f t="shared" si="2"/>
        <v>6</v>
      </c>
      <c r="O8" s="49"/>
      <c r="P8" s="46">
        <v>1.0</v>
      </c>
      <c r="Q8" s="46">
        <f t="shared" si="3"/>
        <v>1</v>
      </c>
      <c r="R8" s="46">
        <f t="shared" si="4"/>
        <v>13</v>
      </c>
      <c r="S8" s="56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>
      <c r="A9" s="41">
        <v>3.0</v>
      </c>
      <c r="B9" s="45" t="s">
        <v>39</v>
      </c>
      <c r="C9" s="46" t="s">
        <v>40</v>
      </c>
      <c r="D9" s="46">
        <v>3.0</v>
      </c>
      <c r="E9" s="46" t="s">
        <v>41</v>
      </c>
      <c r="F9" s="46">
        <v>3.0</v>
      </c>
      <c r="G9" s="46">
        <f t="shared" si="1"/>
        <v>6</v>
      </c>
      <c r="H9" s="46" t="s">
        <v>43</v>
      </c>
      <c r="I9" s="46">
        <v>8.0</v>
      </c>
      <c r="J9" s="65" t="s">
        <v>58</v>
      </c>
      <c r="K9" s="46">
        <v>2.0</v>
      </c>
      <c r="L9" s="49"/>
      <c r="M9" s="49"/>
      <c r="N9" s="46">
        <f t="shared" si="2"/>
        <v>10</v>
      </c>
      <c r="O9" s="49"/>
      <c r="P9" s="46">
        <v>1.0</v>
      </c>
      <c r="Q9" s="46">
        <f t="shared" si="3"/>
        <v>1</v>
      </c>
      <c r="R9" s="46">
        <f t="shared" si="4"/>
        <v>17</v>
      </c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</row>
    <row r="10">
      <c r="A10" s="41">
        <v>4.0</v>
      </c>
      <c r="B10" s="45" t="s">
        <v>45</v>
      </c>
      <c r="C10" s="66" t="s">
        <v>46</v>
      </c>
      <c r="D10" s="46">
        <v>3.0</v>
      </c>
      <c r="E10" s="49"/>
      <c r="F10" s="28"/>
      <c r="G10" s="46">
        <f t="shared" si="1"/>
        <v>3</v>
      </c>
      <c r="H10" s="46" t="s">
        <v>49</v>
      </c>
      <c r="I10" s="46">
        <v>8.0</v>
      </c>
      <c r="J10" s="46" t="s">
        <v>50</v>
      </c>
      <c r="K10" s="46">
        <v>4.0</v>
      </c>
      <c r="L10" s="67"/>
      <c r="M10" s="68"/>
      <c r="N10" s="46">
        <f t="shared" si="2"/>
        <v>12</v>
      </c>
      <c r="O10" s="49"/>
      <c r="P10" s="46">
        <v>1.0</v>
      </c>
      <c r="Q10" s="46">
        <f t="shared" si="3"/>
        <v>1</v>
      </c>
      <c r="R10" s="46">
        <f t="shared" si="4"/>
        <v>16</v>
      </c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</row>
    <row r="11">
      <c r="A11" s="41">
        <v>5.0</v>
      </c>
      <c r="B11" s="45" t="s">
        <v>52</v>
      </c>
      <c r="C11" s="46" t="s">
        <v>53</v>
      </c>
      <c r="D11" s="46">
        <v>3.0</v>
      </c>
      <c r="E11" s="69" t="s">
        <v>74</v>
      </c>
      <c r="F11" s="58">
        <v>2.0</v>
      </c>
      <c r="G11" s="46">
        <f t="shared" si="1"/>
        <v>5</v>
      </c>
      <c r="H11" s="46" t="s">
        <v>55</v>
      </c>
      <c r="I11" s="46">
        <v>8.0</v>
      </c>
      <c r="J11" s="58" t="s">
        <v>76</v>
      </c>
      <c r="K11" s="46">
        <v>2.0</v>
      </c>
      <c r="L11" s="49"/>
      <c r="M11" s="49"/>
      <c r="N11" s="46">
        <f t="shared" si="2"/>
        <v>10</v>
      </c>
      <c r="O11" s="49"/>
      <c r="P11" s="46">
        <v>1.0</v>
      </c>
      <c r="Q11" s="46">
        <f t="shared" si="3"/>
        <v>1</v>
      </c>
      <c r="R11" s="46">
        <f t="shared" si="4"/>
        <v>16</v>
      </c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</row>
    <row r="12">
      <c r="A12" s="41">
        <v>6.0</v>
      </c>
      <c r="B12" s="45" t="s">
        <v>57</v>
      </c>
      <c r="C12" s="46" t="s">
        <v>59</v>
      </c>
      <c r="D12" s="46">
        <v>3.0</v>
      </c>
      <c r="E12" s="49"/>
      <c r="F12" s="49"/>
      <c r="G12" s="46">
        <f t="shared" si="1"/>
        <v>3</v>
      </c>
      <c r="H12" s="46" t="s">
        <v>60</v>
      </c>
      <c r="I12" s="46">
        <v>6.0</v>
      </c>
      <c r="J12" s="46" t="s">
        <v>50</v>
      </c>
      <c r="K12" s="58">
        <v>2.0</v>
      </c>
      <c r="L12" s="58" t="s">
        <v>83</v>
      </c>
      <c r="M12" s="46">
        <v>4.0</v>
      </c>
      <c r="N12" s="46">
        <f t="shared" si="2"/>
        <v>12</v>
      </c>
      <c r="O12" s="49"/>
      <c r="P12" s="46">
        <v>1.0</v>
      </c>
      <c r="Q12" s="46">
        <f t="shared" si="3"/>
        <v>1</v>
      </c>
      <c r="R12" s="46">
        <f t="shared" si="4"/>
        <v>16</v>
      </c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</row>
    <row r="13">
      <c r="A13" s="41">
        <v>7.0</v>
      </c>
      <c r="B13" s="45" t="s">
        <v>63</v>
      </c>
      <c r="C13" s="46" t="s">
        <v>64</v>
      </c>
      <c r="D13" s="46">
        <v>2.0</v>
      </c>
      <c r="E13" s="46" t="s">
        <v>65</v>
      </c>
      <c r="F13" s="46">
        <v>3.0</v>
      </c>
      <c r="G13" s="46">
        <f t="shared" si="1"/>
        <v>5</v>
      </c>
      <c r="H13" s="46" t="s">
        <v>66</v>
      </c>
      <c r="I13" s="58">
        <v>6.0</v>
      </c>
      <c r="J13" s="46" t="s">
        <v>33</v>
      </c>
      <c r="K13" s="46">
        <v>4.0</v>
      </c>
      <c r="L13" s="49"/>
      <c r="M13" s="49"/>
      <c r="N13" s="46">
        <f t="shared" si="2"/>
        <v>10</v>
      </c>
      <c r="O13" s="49"/>
      <c r="P13" s="46">
        <v>1.0</v>
      </c>
      <c r="Q13" s="46">
        <f t="shared" si="3"/>
        <v>1</v>
      </c>
      <c r="R13" s="46">
        <f t="shared" si="4"/>
        <v>16</v>
      </c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</row>
    <row r="14">
      <c r="A14" s="41">
        <v>8.0</v>
      </c>
      <c r="B14" s="45" t="s">
        <v>69</v>
      </c>
      <c r="C14" s="46" t="s">
        <v>70</v>
      </c>
      <c r="D14" s="46">
        <v>3.0</v>
      </c>
      <c r="E14" s="49"/>
      <c r="F14" s="28"/>
      <c r="G14" s="46">
        <f t="shared" si="1"/>
        <v>3</v>
      </c>
      <c r="H14" s="46" t="s">
        <v>72</v>
      </c>
      <c r="I14" s="46">
        <v>6.0</v>
      </c>
      <c r="J14" s="46" t="s">
        <v>73</v>
      </c>
      <c r="K14" s="58">
        <v>4.0</v>
      </c>
      <c r="L14" s="49"/>
      <c r="M14" s="49"/>
      <c r="N14" s="46">
        <f t="shared" si="2"/>
        <v>10</v>
      </c>
      <c r="O14" s="49"/>
      <c r="P14" s="46">
        <v>1.0</v>
      </c>
      <c r="Q14" s="46">
        <f t="shared" si="3"/>
        <v>1</v>
      </c>
      <c r="R14" s="46">
        <f t="shared" si="4"/>
        <v>14</v>
      </c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</row>
    <row r="15">
      <c r="A15" s="41">
        <v>9.0</v>
      </c>
      <c r="B15" s="45" t="s">
        <v>97</v>
      </c>
      <c r="C15" s="58" t="s">
        <v>98</v>
      </c>
      <c r="D15" s="75">
        <v>3.0</v>
      </c>
      <c r="E15" s="58" t="s">
        <v>100</v>
      </c>
      <c r="F15" s="46">
        <v>2.0</v>
      </c>
      <c r="G15" s="46">
        <f t="shared" si="1"/>
        <v>5</v>
      </c>
      <c r="H15" s="58" t="s">
        <v>101</v>
      </c>
      <c r="I15" s="46">
        <v>4.0</v>
      </c>
      <c r="J15" s="46" t="s">
        <v>73</v>
      </c>
      <c r="K15" s="48">
        <v>4.0</v>
      </c>
      <c r="L15" s="46" t="s">
        <v>66</v>
      </c>
      <c r="M15" s="48">
        <v>2.0</v>
      </c>
      <c r="N15" s="46">
        <f t="shared" si="2"/>
        <v>10</v>
      </c>
      <c r="O15" s="49"/>
      <c r="P15" s="46">
        <v>1.0</v>
      </c>
      <c r="Q15" s="46">
        <f t="shared" si="3"/>
        <v>1</v>
      </c>
      <c r="R15" s="46">
        <f t="shared" si="4"/>
        <v>16</v>
      </c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</row>
    <row r="16">
      <c r="A16" s="41">
        <v>10.0</v>
      </c>
      <c r="B16" s="45" t="s">
        <v>104</v>
      </c>
      <c r="C16" s="46" t="s">
        <v>87</v>
      </c>
      <c r="D16" s="46">
        <v>3.0</v>
      </c>
      <c r="E16" s="46" t="s">
        <v>71</v>
      </c>
      <c r="F16" s="46">
        <v>2.0</v>
      </c>
      <c r="G16" s="46">
        <f t="shared" si="1"/>
        <v>5</v>
      </c>
      <c r="H16" s="58" t="s">
        <v>51</v>
      </c>
      <c r="I16" s="58">
        <v>2.0</v>
      </c>
      <c r="J16" s="58" t="s">
        <v>107</v>
      </c>
      <c r="K16" s="58">
        <v>8.0</v>
      </c>
      <c r="L16" s="49"/>
      <c r="M16" s="49"/>
      <c r="N16" s="46">
        <f t="shared" si="2"/>
        <v>10</v>
      </c>
      <c r="O16" s="49"/>
      <c r="P16" s="46">
        <v>1.0</v>
      </c>
      <c r="Q16" s="46">
        <f t="shared" si="3"/>
        <v>1</v>
      </c>
      <c r="R16" s="46">
        <f t="shared" si="4"/>
        <v>16</v>
      </c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</row>
    <row r="17">
      <c r="A17" s="41">
        <v>11.0</v>
      </c>
      <c r="B17" s="45" t="s">
        <v>108</v>
      </c>
      <c r="C17" s="58" t="s">
        <v>109</v>
      </c>
      <c r="D17" s="46">
        <v>3.0</v>
      </c>
      <c r="E17" s="67"/>
      <c r="F17" s="67"/>
      <c r="G17" s="46">
        <f t="shared" si="1"/>
        <v>3</v>
      </c>
      <c r="H17" s="46" t="s">
        <v>88</v>
      </c>
      <c r="I17" s="46">
        <v>8.0</v>
      </c>
      <c r="J17" s="58" t="s">
        <v>110</v>
      </c>
      <c r="K17" s="58">
        <v>4.0</v>
      </c>
      <c r="L17" s="46" t="s">
        <v>50</v>
      </c>
      <c r="M17" s="58">
        <v>2.0</v>
      </c>
      <c r="N17" s="46">
        <f t="shared" si="2"/>
        <v>14</v>
      </c>
      <c r="O17" s="49"/>
      <c r="P17" s="46">
        <v>1.0</v>
      </c>
      <c r="Q17" s="46">
        <f t="shared" si="3"/>
        <v>1</v>
      </c>
      <c r="R17" s="46">
        <f t="shared" si="4"/>
        <v>18</v>
      </c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</row>
    <row r="18">
      <c r="A18" s="41">
        <v>12.0</v>
      </c>
      <c r="B18" s="45" t="s">
        <v>113</v>
      </c>
      <c r="C18" s="46" t="s">
        <v>90</v>
      </c>
      <c r="D18" s="46">
        <v>3.0</v>
      </c>
      <c r="E18" s="58" t="s">
        <v>114</v>
      </c>
      <c r="F18" s="46">
        <v>2.0</v>
      </c>
      <c r="G18" s="46">
        <f t="shared" si="1"/>
        <v>5</v>
      </c>
      <c r="H18" s="46" t="s">
        <v>93</v>
      </c>
      <c r="I18" s="46">
        <v>8.0</v>
      </c>
      <c r="J18" s="58" t="s">
        <v>76</v>
      </c>
      <c r="K18" s="46">
        <v>2.0</v>
      </c>
      <c r="L18" s="49"/>
      <c r="M18" s="49"/>
      <c r="N18" s="46">
        <f t="shared" si="2"/>
        <v>10</v>
      </c>
      <c r="O18" s="49"/>
      <c r="P18" s="46">
        <v>1.0</v>
      </c>
      <c r="Q18" s="46">
        <f t="shared" si="3"/>
        <v>1</v>
      </c>
      <c r="R18" s="46">
        <f t="shared" si="4"/>
        <v>16</v>
      </c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</row>
    <row r="19">
      <c r="A19" s="5"/>
      <c r="B19" s="5"/>
      <c r="C19" s="28"/>
      <c r="D19" s="28"/>
      <c r="E19" s="28"/>
      <c r="F19" s="28"/>
      <c r="G19" s="31">
        <f>SUM(G7:G18)</f>
        <v>56</v>
      </c>
      <c r="H19" s="28"/>
      <c r="I19" s="28"/>
      <c r="J19" s="28"/>
      <c r="K19" s="28"/>
      <c r="L19" s="28"/>
      <c r="M19" s="28"/>
      <c r="N19" s="31">
        <f>SUM(N7:N18)</f>
        <v>120</v>
      </c>
      <c r="O19" s="28"/>
      <c r="P19" s="28"/>
      <c r="Q19" s="31">
        <f t="shared" ref="Q19:R19" si="5">SUM(Q7:Q18)</f>
        <v>11.5</v>
      </c>
      <c r="R19" s="31">
        <f t="shared" si="5"/>
        <v>187.5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81"/>
      <c r="L20" s="5"/>
      <c r="M20" s="8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>
      <c r="A21" s="84" t="s">
        <v>122</v>
      </c>
      <c r="D21" s="86" t="s">
        <v>104</v>
      </c>
      <c r="G21" s="5"/>
      <c r="H21" s="87" t="s">
        <v>105</v>
      </c>
      <c r="I21" s="86" t="s">
        <v>106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81"/>
      <c r="L22" s="5"/>
      <c r="M22" s="8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>
      <c r="A23" s="5"/>
      <c r="B23" s="5"/>
      <c r="C23" s="5"/>
      <c r="D23" s="5"/>
      <c r="H23" s="5"/>
      <c r="I23" s="5"/>
      <c r="L23" s="5"/>
      <c r="M23" s="81"/>
      <c r="P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>
      <c r="A24" s="5"/>
      <c r="B24" s="5"/>
      <c r="C24" s="5"/>
      <c r="D24" s="5"/>
      <c r="H24" s="5"/>
      <c r="I24" s="5"/>
      <c r="J24" s="5"/>
      <c r="K24" s="81"/>
      <c r="L24" s="5"/>
      <c r="M24" s="81"/>
      <c r="O24" s="5"/>
      <c r="P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81"/>
      <c r="L25" s="5"/>
      <c r="M25" s="8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81"/>
      <c r="L26" s="5"/>
      <c r="M26" s="8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81"/>
      <c r="L27" s="5"/>
      <c r="M27" s="8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81"/>
      <c r="L28" s="5"/>
      <c r="M28" s="8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81"/>
      <c r="L29" s="5"/>
      <c r="M29" s="8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81"/>
      <c r="L30" s="5"/>
      <c r="M30" s="8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81"/>
      <c r="L31" s="5"/>
      <c r="M31" s="8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81"/>
      <c r="L32" s="5"/>
      <c r="M32" s="8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81"/>
      <c r="L33" s="5"/>
      <c r="M33" s="8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81"/>
      <c r="L34" s="5"/>
      <c r="M34" s="8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81"/>
      <c r="L35" s="5"/>
      <c r="M35" s="8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81"/>
      <c r="L36" s="5"/>
      <c r="M36" s="8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81"/>
      <c r="L37" s="5"/>
      <c r="M37" s="8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81"/>
      <c r="L38" s="5"/>
      <c r="M38" s="8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81"/>
      <c r="L39" s="5"/>
      <c r="M39" s="8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81"/>
      <c r="L40" s="5"/>
      <c r="M40" s="8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81"/>
      <c r="L41" s="5"/>
      <c r="M41" s="8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81"/>
      <c r="L42" s="5"/>
      <c r="M42" s="8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81"/>
      <c r="L43" s="5"/>
      <c r="M43" s="8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81"/>
      <c r="L44" s="5"/>
      <c r="M44" s="8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81"/>
      <c r="L45" s="5"/>
      <c r="M45" s="8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81"/>
      <c r="L46" s="5"/>
      <c r="M46" s="8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81"/>
      <c r="L47" s="5"/>
      <c r="M47" s="8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81"/>
      <c r="L48" s="5"/>
      <c r="M48" s="8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81"/>
      <c r="L49" s="5"/>
      <c r="M49" s="81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81"/>
      <c r="L50" s="5"/>
      <c r="M50" s="8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81"/>
      <c r="L51" s="5"/>
      <c r="M51" s="8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81"/>
      <c r="L52" s="5"/>
      <c r="M52" s="8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81"/>
      <c r="L53" s="5"/>
      <c r="M53" s="8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81"/>
      <c r="L54" s="5"/>
      <c r="M54" s="8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81"/>
      <c r="L55" s="5"/>
      <c r="M55" s="8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81"/>
      <c r="L56" s="5"/>
      <c r="M56" s="8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81"/>
      <c r="L57" s="5"/>
      <c r="M57" s="8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81"/>
      <c r="L58" s="5"/>
      <c r="M58" s="8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81"/>
      <c r="L59" s="5"/>
      <c r="M59" s="8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81"/>
      <c r="L60" s="5"/>
      <c r="M60" s="8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81"/>
      <c r="L61" s="5"/>
      <c r="M61" s="8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81"/>
      <c r="L62" s="5"/>
      <c r="M62" s="8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81"/>
      <c r="L63" s="5"/>
      <c r="M63" s="8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81"/>
      <c r="L64" s="5"/>
      <c r="M64" s="8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81"/>
      <c r="L65" s="5"/>
      <c r="M65" s="81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81"/>
      <c r="L66" s="5"/>
      <c r="M66" s="8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81"/>
      <c r="L67" s="5"/>
      <c r="M67" s="8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81"/>
      <c r="L68" s="5"/>
      <c r="M68" s="8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81"/>
      <c r="L69" s="5"/>
      <c r="M69" s="8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81"/>
      <c r="L70" s="5"/>
      <c r="M70" s="8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81"/>
      <c r="L71" s="5"/>
      <c r="M71" s="8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81"/>
      <c r="L72" s="5"/>
      <c r="M72" s="8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81"/>
      <c r="L73" s="5"/>
      <c r="M73" s="8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81"/>
      <c r="L74" s="5"/>
      <c r="M74" s="8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81"/>
      <c r="L75" s="5"/>
      <c r="M75" s="8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81"/>
      <c r="L76" s="5"/>
      <c r="M76" s="8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81"/>
      <c r="L77" s="5"/>
      <c r="M77" s="8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81"/>
      <c r="L78" s="5"/>
      <c r="M78" s="8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81"/>
      <c r="L79" s="5"/>
      <c r="M79" s="8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81"/>
      <c r="L80" s="5"/>
      <c r="M80" s="8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81"/>
      <c r="L81" s="5"/>
      <c r="M81" s="81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81"/>
      <c r="L82" s="5"/>
      <c r="M82" s="8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81"/>
      <c r="L83" s="5"/>
      <c r="M83" s="8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81"/>
      <c r="L84" s="5"/>
      <c r="M84" s="8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81"/>
      <c r="L85" s="5"/>
      <c r="M85" s="8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81"/>
      <c r="L86" s="5"/>
      <c r="M86" s="8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81"/>
      <c r="L87" s="5"/>
      <c r="M87" s="81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81"/>
      <c r="L88" s="5"/>
      <c r="M88" s="8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81"/>
      <c r="L89" s="5"/>
      <c r="M89" s="8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81"/>
      <c r="L90" s="5"/>
      <c r="M90" s="8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81"/>
      <c r="L91" s="5"/>
      <c r="M91" s="8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81"/>
      <c r="L92" s="5"/>
      <c r="M92" s="8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81"/>
      <c r="L93" s="5"/>
      <c r="M93" s="81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81"/>
      <c r="L94" s="5"/>
      <c r="M94" s="8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81"/>
      <c r="L95" s="5"/>
      <c r="M95" s="8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81"/>
      <c r="L96" s="5"/>
      <c r="M96" s="81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81"/>
      <c r="L97" s="5"/>
      <c r="M97" s="8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81"/>
      <c r="L98" s="5"/>
      <c r="M98" s="8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81"/>
      <c r="L99" s="5"/>
      <c r="M99" s="81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81"/>
      <c r="L100" s="5"/>
      <c r="M100" s="8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81"/>
      <c r="L101" s="5"/>
      <c r="M101" s="8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81"/>
      <c r="L102" s="5"/>
      <c r="M102" s="8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81"/>
      <c r="L103" s="5"/>
      <c r="M103" s="8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81"/>
      <c r="L104" s="5"/>
      <c r="M104" s="8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81"/>
      <c r="L105" s="5"/>
      <c r="M105" s="8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81"/>
      <c r="L106" s="5"/>
      <c r="M106" s="8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81"/>
      <c r="L107" s="5"/>
      <c r="M107" s="8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81"/>
      <c r="L108" s="5"/>
      <c r="M108" s="8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81"/>
      <c r="L109" s="5"/>
      <c r="M109" s="8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81"/>
      <c r="L110" s="5"/>
      <c r="M110" s="8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81"/>
      <c r="L111" s="5"/>
      <c r="M111" s="8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81"/>
      <c r="L112" s="5"/>
      <c r="M112" s="8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81"/>
      <c r="L113" s="5"/>
      <c r="M113" s="8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81"/>
      <c r="L114" s="5"/>
      <c r="M114" s="8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81"/>
      <c r="L115" s="5"/>
      <c r="M115" s="8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81"/>
      <c r="L116" s="5"/>
      <c r="M116" s="8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81"/>
      <c r="L117" s="5"/>
      <c r="M117" s="8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81"/>
      <c r="L118" s="5"/>
      <c r="M118" s="81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81"/>
      <c r="L119" s="5"/>
      <c r="M119" s="81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81"/>
      <c r="L120" s="5"/>
      <c r="M120" s="81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81"/>
      <c r="L121" s="5"/>
      <c r="M121" s="8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81"/>
      <c r="L122" s="5"/>
      <c r="M122" s="8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81"/>
      <c r="L123" s="5"/>
      <c r="M123" s="8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81"/>
      <c r="L124" s="5"/>
      <c r="M124" s="8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81"/>
      <c r="L125" s="5"/>
      <c r="M125" s="8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81"/>
      <c r="L126" s="5"/>
      <c r="M126" s="8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81"/>
      <c r="L127" s="5"/>
      <c r="M127" s="8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81"/>
      <c r="L128" s="5"/>
      <c r="M128" s="8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81"/>
      <c r="L129" s="5"/>
      <c r="M129" s="8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81"/>
      <c r="L130" s="5"/>
      <c r="M130" s="8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81"/>
      <c r="L131" s="5"/>
      <c r="M131" s="8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81"/>
      <c r="L132" s="5"/>
      <c r="M132" s="8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81"/>
      <c r="L133" s="5"/>
      <c r="M133" s="8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81"/>
      <c r="L134" s="5"/>
      <c r="M134" s="8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81"/>
      <c r="L135" s="5"/>
      <c r="M135" s="8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81"/>
      <c r="L136" s="5"/>
      <c r="M136" s="8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81"/>
      <c r="L137" s="5"/>
      <c r="M137" s="8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81"/>
      <c r="L138" s="5"/>
      <c r="M138" s="8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81"/>
      <c r="L139" s="5"/>
      <c r="M139" s="8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81"/>
      <c r="L140" s="5"/>
      <c r="M140" s="8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81"/>
      <c r="L141" s="5"/>
      <c r="M141" s="8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81"/>
      <c r="L142" s="5"/>
      <c r="M142" s="81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81"/>
      <c r="L143" s="5"/>
      <c r="M143" s="81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81"/>
      <c r="L144" s="5"/>
      <c r="M144" s="81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81"/>
      <c r="L145" s="5"/>
      <c r="M145" s="8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81"/>
      <c r="L146" s="5"/>
      <c r="M146" s="8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81"/>
      <c r="L147" s="5"/>
      <c r="M147" s="8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81"/>
      <c r="L148" s="5"/>
      <c r="M148" s="81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81"/>
      <c r="L149" s="5"/>
      <c r="M149" s="81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81"/>
      <c r="L150" s="5"/>
      <c r="M150" s="8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81"/>
      <c r="L151" s="5"/>
      <c r="M151" s="8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81"/>
      <c r="L152" s="5"/>
      <c r="M152" s="8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81"/>
      <c r="L153" s="5"/>
      <c r="M153" s="8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81"/>
      <c r="L154" s="5"/>
      <c r="M154" s="8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81"/>
      <c r="L155" s="5"/>
      <c r="M155" s="8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81"/>
      <c r="L156" s="5"/>
      <c r="M156" s="81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81"/>
      <c r="L157" s="5"/>
      <c r="M157" s="8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81"/>
      <c r="L158" s="5"/>
      <c r="M158" s="81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81"/>
      <c r="L159" s="5"/>
      <c r="M159" s="8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81"/>
      <c r="L160" s="5"/>
      <c r="M160" s="8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81"/>
      <c r="L161" s="5"/>
      <c r="M161" s="8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81"/>
      <c r="L162" s="5"/>
      <c r="M162" s="8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81"/>
      <c r="L163" s="5"/>
      <c r="M163" s="81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81"/>
      <c r="L164" s="5"/>
      <c r="M164" s="8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81"/>
      <c r="L165" s="5"/>
      <c r="M165" s="8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81"/>
      <c r="L166" s="5"/>
      <c r="M166" s="8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81"/>
      <c r="L167" s="5"/>
      <c r="M167" s="8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81"/>
      <c r="L168" s="5"/>
      <c r="M168" s="8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81"/>
      <c r="L169" s="5"/>
      <c r="M169" s="8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81"/>
      <c r="L170" s="5"/>
      <c r="M170" s="81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81"/>
      <c r="L171" s="5"/>
      <c r="M171" s="8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81"/>
      <c r="L172" s="5"/>
      <c r="M172" s="8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81"/>
      <c r="L173" s="5"/>
      <c r="M173" s="8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81"/>
      <c r="L174" s="5"/>
      <c r="M174" s="8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81"/>
      <c r="L175" s="5"/>
      <c r="M175" s="8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81"/>
      <c r="L176" s="5"/>
      <c r="M176" s="81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81"/>
      <c r="L177" s="5"/>
      <c r="M177" s="81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81"/>
      <c r="L178" s="5"/>
      <c r="M178" s="8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81"/>
      <c r="L179" s="5"/>
      <c r="M179" s="8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81"/>
      <c r="L180" s="5"/>
      <c r="M180" s="8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81"/>
      <c r="L181" s="5"/>
      <c r="M181" s="8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81"/>
      <c r="L182" s="5"/>
      <c r="M182" s="8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81"/>
      <c r="L183" s="5"/>
      <c r="M183" s="8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81"/>
      <c r="L184" s="5"/>
      <c r="M184" s="8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81"/>
      <c r="L185" s="5"/>
      <c r="M185" s="8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81"/>
      <c r="L186" s="5"/>
      <c r="M186" s="8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81"/>
      <c r="L187" s="5"/>
      <c r="M187" s="81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81"/>
      <c r="L188" s="5"/>
      <c r="M188" s="81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81"/>
      <c r="L189" s="5"/>
      <c r="M189" s="81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81"/>
      <c r="L190" s="5"/>
      <c r="M190" s="81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81"/>
      <c r="L191" s="5"/>
      <c r="M191" s="81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81"/>
      <c r="L192" s="5"/>
      <c r="M192" s="8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81"/>
      <c r="L193" s="5"/>
      <c r="M193" s="8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81"/>
      <c r="L194" s="5"/>
      <c r="M194" s="8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81"/>
      <c r="L195" s="5"/>
      <c r="M195" s="8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81"/>
      <c r="L196" s="5"/>
      <c r="M196" s="8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81"/>
      <c r="L197" s="5"/>
      <c r="M197" s="8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81"/>
      <c r="L198" s="5"/>
      <c r="M198" s="8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81"/>
      <c r="L199" s="5"/>
      <c r="M199" s="8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81"/>
      <c r="L200" s="5"/>
      <c r="M200" s="8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81"/>
      <c r="L201" s="5"/>
      <c r="M201" s="8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81"/>
      <c r="L202" s="5"/>
      <c r="M202" s="8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81"/>
      <c r="L203" s="5"/>
      <c r="M203" s="8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81"/>
      <c r="L204" s="5"/>
      <c r="M204" s="8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81"/>
      <c r="L205" s="5"/>
      <c r="M205" s="81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81"/>
      <c r="L206" s="5"/>
      <c r="M206" s="8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81"/>
      <c r="L207" s="5"/>
      <c r="M207" s="8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81"/>
      <c r="L208" s="5"/>
      <c r="M208" s="8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81"/>
      <c r="L209" s="5"/>
      <c r="M209" s="8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81"/>
      <c r="L210" s="5"/>
      <c r="M210" s="8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81"/>
      <c r="L211" s="5"/>
      <c r="M211" s="8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81"/>
      <c r="L212" s="5"/>
      <c r="M212" s="8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81"/>
      <c r="L213" s="5"/>
      <c r="M213" s="8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81"/>
      <c r="L214" s="5"/>
      <c r="M214" s="8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81"/>
      <c r="L215" s="5"/>
      <c r="M215" s="8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81"/>
      <c r="L216" s="5"/>
      <c r="M216" s="8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81"/>
      <c r="L217" s="5"/>
      <c r="M217" s="8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81"/>
      <c r="L218" s="5"/>
      <c r="M218" s="8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81"/>
      <c r="L219" s="5"/>
      <c r="M219" s="8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81"/>
      <c r="L220" s="5"/>
      <c r="M220" s="8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81"/>
      <c r="L221" s="5"/>
      <c r="M221" s="8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81"/>
      <c r="L222" s="5"/>
      <c r="M222" s="8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81"/>
      <c r="L223" s="5"/>
      <c r="M223" s="8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81"/>
      <c r="L224" s="5"/>
      <c r="M224" s="8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81"/>
      <c r="L225" s="5"/>
      <c r="M225" s="81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81"/>
      <c r="L226" s="5"/>
      <c r="M226" s="81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81"/>
      <c r="L227" s="5"/>
      <c r="M227" s="81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81"/>
      <c r="L228" s="5"/>
      <c r="M228" s="81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81"/>
      <c r="L229" s="5"/>
      <c r="M229" s="81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81"/>
      <c r="L230" s="5"/>
      <c r="M230" s="81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81"/>
      <c r="L231" s="5"/>
      <c r="M231" s="81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81"/>
      <c r="L232" s="5"/>
      <c r="M232" s="81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81"/>
      <c r="L233" s="5"/>
      <c r="M233" s="81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81"/>
      <c r="L234" s="5"/>
      <c r="M234" s="81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81"/>
      <c r="L235" s="5"/>
      <c r="M235" s="81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81"/>
      <c r="L236" s="5"/>
      <c r="M236" s="81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81"/>
      <c r="L237" s="5"/>
      <c r="M237" s="81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81"/>
      <c r="L238" s="5"/>
      <c r="M238" s="81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81"/>
      <c r="L239" s="5"/>
      <c r="M239" s="81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81"/>
      <c r="L240" s="5"/>
      <c r="M240" s="81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81"/>
      <c r="L241" s="5"/>
      <c r="M241" s="81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81"/>
      <c r="L242" s="5"/>
      <c r="M242" s="81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81"/>
      <c r="L243" s="5"/>
      <c r="M243" s="81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81"/>
      <c r="L244" s="5"/>
      <c r="M244" s="81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81"/>
      <c r="L245" s="5"/>
      <c r="M245" s="81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81"/>
      <c r="L246" s="5"/>
      <c r="M246" s="81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81"/>
      <c r="L247" s="5"/>
      <c r="M247" s="81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81"/>
      <c r="L248" s="5"/>
      <c r="M248" s="81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81"/>
      <c r="L249" s="5"/>
      <c r="M249" s="81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81"/>
      <c r="L250" s="5"/>
      <c r="M250" s="81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81"/>
      <c r="L251" s="5"/>
      <c r="M251" s="81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81"/>
      <c r="L252" s="5"/>
      <c r="M252" s="81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81"/>
      <c r="L253" s="5"/>
      <c r="M253" s="81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81"/>
      <c r="L254" s="5"/>
      <c r="M254" s="81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81"/>
      <c r="L255" s="5"/>
      <c r="M255" s="81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81"/>
      <c r="L256" s="5"/>
      <c r="M256" s="81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81"/>
      <c r="L257" s="5"/>
      <c r="M257" s="81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81"/>
      <c r="L258" s="5"/>
      <c r="M258" s="81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81"/>
      <c r="L259" s="5"/>
      <c r="M259" s="81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81"/>
      <c r="L260" s="5"/>
      <c r="M260" s="81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81"/>
      <c r="L261" s="5"/>
      <c r="M261" s="81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81"/>
      <c r="L262" s="5"/>
      <c r="M262" s="81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81"/>
      <c r="L263" s="5"/>
      <c r="M263" s="81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81"/>
      <c r="L264" s="5"/>
      <c r="M264" s="81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81"/>
      <c r="L265" s="5"/>
      <c r="M265" s="81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81"/>
      <c r="L266" s="5"/>
      <c r="M266" s="81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81"/>
      <c r="L267" s="5"/>
      <c r="M267" s="81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81"/>
      <c r="L268" s="5"/>
      <c r="M268" s="81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81"/>
      <c r="L269" s="5"/>
      <c r="M269" s="81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81"/>
      <c r="L270" s="5"/>
      <c r="M270" s="81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81"/>
      <c r="L271" s="5"/>
      <c r="M271" s="81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81"/>
      <c r="L272" s="5"/>
      <c r="M272" s="81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81"/>
      <c r="L273" s="5"/>
      <c r="M273" s="81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81"/>
      <c r="L274" s="5"/>
      <c r="M274" s="81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81"/>
      <c r="L275" s="5"/>
      <c r="M275" s="81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81"/>
      <c r="L276" s="5"/>
      <c r="M276" s="81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81"/>
      <c r="L277" s="5"/>
      <c r="M277" s="81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81"/>
      <c r="L278" s="5"/>
      <c r="M278" s="81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81"/>
      <c r="L279" s="5"/>
      <c r="M279" s="81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81"/>
      <c r="L280" s="5"/>
      <c r="M280" s="81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81"/>
      <c r="L281" s="5"/>
      <c r="M281" s="81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81"/>
      <c r="L282" s="5"/>
      <c r="M282" s="81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81"/>
      <c r="L283" s="5"/>
      <c r="M283" s="81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81"/>
      <c r="L284" s="5"/>
      <c r="M284" s="81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81"/>
      <c r="L285" s="5"/>
      <c r="M285" s="81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81"/>
      <c r="L286" s="5"/>
      <c r="M286" s="81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81"/>
      <c r="L287" s="5"/>
      <c r="M287" s="81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81"/>
      <c r="L288" s="5"/>
      <c r="M288" s="81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81"/>
      <c r="L289" s="5"/>
      <c r="M289" s="81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81"/>
      <c r="L290" s="5"/>
      <c r="M290" s="81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81"/>
      <c r="L291" s="5"/>
      <c r="M291" s="81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81"/>
      <c r="L292" s="5"/>
      <c r="M292" s="81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81"/>
      <c r="L293" s="5"/>
      <c r="M293" s="81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81"/>
      <c r="L294" s="5"/>
      <c r="M294" s="81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81"/>
      <c r="L295" s="5"/>
      <c r="M295" s="81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81"/>
      <c r="L296" s="5"/>
      <c r="M296" s="81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81"/>
      <c r="L297" s="5"/>
      <c r="M297" s="81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81"/>
      <c r="L298" s="5"/>
      <c r="M298" s="81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81"/>
      <c r="L299" s="5"/>
      <c r="M299" s="81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81"/>
      <c r="L300" s="5"/>
      <c r="M300" s="81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81"/>
      <c r="L301" s="5"/>
      <c r="M301" s="81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81"/>
      <c r="L302" s="5"/>
      <c r="M302" s="81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81"/>
      <c r="L303" s="5"/>
      <c r="M303" s="81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81"/>
      <c r="L304" s="5"/>
      <c r="M304" s="81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81"/>
      <c r="L305" s="5"/>
      <c r="M305" s="81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81"/>
      <c r="L306" s="5"/>
      <c r="M306" s="81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81"/>
      <c r="L307" s="5"/>
      <c r="M307" s="81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81"/>
      <c r="L308" s="5"/>
      <c r="M308" s="81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81"/>
      <c r="L309" s="5"/>
      <c r="M309" s="81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81"/>
      <c r="L310" s="5"/>
      <c r="M310" s="81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81"/>
      <c r="L311" s="5"/>
      <c r="M311" s="81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81"/>
      <c r="L312" s="5"/>
      <c r="M312" s="81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81"/>
      <c r="L313" s="5"/>
      <c r="M313" s="81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81"/>
      <c r="L314" s="5"/>
      <c r="M314" s="81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81"/>
      <c r="L315" s="5"/>
      <c r="M315" s="81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81"/>
      <c r="L316" s="5"/>
      <c r="M316" s="81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81"/>
      <c r="L317" s="5"/>
      <c r="M317" s="81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81"/>
      <c r="L318" s="5"/>
      <c r="M318" s="81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81"/>
      <c r="L319" s="5"/>
      <c r="M319" s="81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81"/>
      <c r="L320" s="5"/>
      <c r="M320" s="81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81"/>
      <c r="L321" s="5"/>
      <c r="M321" s="81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81"/>
      <c r="L322" s="5"/>
      <c r="M322" s="81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81"/>
      <c r="L323" s="5"/>
      <c r="M323" s="81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81"/>
      <c r="L324" s="5"/>
      <c r="M324" s="81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81"/>
      <c r="L325" s="5"/>
      <c r="M325" s="81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81"/>
      <c r="L326" s="5"/>
      <c r="M326" s="81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81"/>
      <c r="L327" s="5"/>
      <c r="M327" s="81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81"/>
      <c r="L328" s="5"/>
      <c r="M328" s="81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81"/>
      <c r="L329" s="5"/>
      <c r="M329" s="81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81"/>
      <c r="L330" s="5"/>
      <c r="M330" s="81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81"/>
      <c r="L331" s="5"/>
      <c r="M331" s="81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81"/>
      <c r="L332" s="5"/>
      <c r="M332" s="81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81"/>
      <c r="L333" s="5"/>
      <c r="M333" s="81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81"/>
      <c r="L334" s="5"/>
      <c r="M334" s="81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81"/>
      <c r="L335" s="5"/>
      <c r="M335" s="81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81"/>
      <c r="L336" s="5"/>
      <c r="M336" s="81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81"/>
      <c r="L337" s="5"/>
      <c r="M337" s="81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81"/>
      <c r="L338" s="5"/>
      <c r="M338" s="81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81"/>
      <c r="L339" s="5"/>
      <c r="M339" s="81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81"/>
      <c r="L340" s="5"/>
      <c r="M340" s="81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81"/>
      <c r="L341" s="5"/>
      <c r="M341" s="81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81"/>
      <c r="L342" s="5"/>
      <c r="M342" s="81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81"/>
      <c r="L343" s="5"/>
      <c r="M343" s="81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81"/>
      <c r="L344" s="5"/>
      <c r="M344" s="81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81"/>
      <c r="L345" s="5"/>
      <c r="M345" s="81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81"/>
      <c r="L346" s="5"/>
      <c r="M346" s="81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81"/>
      <c r="L347" s="5"/>
      <c r="M347" s="81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81"/>
      <c r="L348" s="5"/>
      <c r="M348" s="81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81"/>
      <c r="L349" s="5"/>
      <c r="M349" s="81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81"/>
      <c r="L350" s="5"/>
      <c r="M350" s="81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81"/>
      <c r="L351" s="5"/>
      <c r="M351" s="81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81"/>
      <c r="L352" s="5"/>
      <c r="M352" s="81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81"/>
      <c r="L353" s="5"/>
      <c r="M353" s="81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81"/>
      <c r="L354" s="5"/>
      <c r="M354" s="81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81"/>
      <c r="L355" s="5"/>
      <c r="M355" s="81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81"/>
      <c r="L356" s="5"/>
      <c r="M356" s="81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81"/>
      <c r="L357" s="5"/>
      <c r="M357" s="81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81"/>
      <c r="L358" s="5"/>
      <c r="M358" s="81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81"/>
      <c r="L359" s="5"/>
      <c r="M359" s="81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81"/>
      <c r="L360" s="5"/>
      <c r="M360" s="81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81"/>
      <c r="L361" s="5"/>
      <c r="M361" s="81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81"/>
      <c r="L362" s="5"/>
      <c r="M362" s="81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81"/>
      <c r="L363" s="5"/>
      <c r="M363" s="81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81"/>
      <c r="L364" s="5"/>
      <c r="M364" s="81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81"/>
      <c r="L365" s="5"/>
      <c r="M365" s="81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81"/>
      <c r="L366" s="5"/>
      <c r="M366" s="81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81"/>
      <c r="L367" s="5"/>
      <c r="M367" s="81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81"/>
      <c r="L368" s="5"/>
      <c r="M368" s="81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81"/>
      <c r="L369" s="5"/>
      <c r="M369" s="81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81"/>
      <c r="L370" s="5"/>
      <c r="M370" s="81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81"/>
      <c r="L371" s="5"/>
      <c r="M371" s="81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81"/>
      <c r="L372" s="5"/>
      <c r="M372" s="81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81"/>
      <c r="L373" s="5"/>
      <c r="M373" s="81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81"/>
      <c r="L374" s="5"/>
      <c r="M374" s="81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81"/>
      <c r="L375" s="5"/>
      <c r="M375" s="81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81"/>
      <c r="L376" s="5"/>
      <c r="M376" s="81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81"/>
      <c r="L377" s="5"/>
      <c r="M377" s="81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81"/>
      <c r="L378" s="5"/>
      <c r="M378" s="81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81"/>
      <c r="L379" s="5"/>
      <c r="M379" s="81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81"/>
      <c r="L380" s="5"/>
      <c r="M380" s="81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81"/>
      <c r="L381" s="5"/>
      <c r="M381" s="81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81"/>
      <c r="L382" s="5"/>
      <c r="M382" s="81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81"/>
      <c r="L383" s="5"/>
      <c r="M383" s="81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81"/>
      <c r="L384" s="5"/>
      <c r="M384" s="81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81"/>
      <c r="L385" s="5"/>
      <c r="M385" s="81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81"/>
      <c r="L386" s="5"/>
      <c r="M386" s="81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81"/>
      <c r="L387" s="5"/>
      <c r="M387" s="81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81"/>
      <c r="L388" s="5"/>
      <c r="M388" s="81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81"/>
      <c r="L389" s="5"/>
      <c r="M389" s="81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81"/>
      <c r="L390" s="5"/>
      <c r="M390" s="81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81"/>
      <c r="L391" s="5"/>
      <c r="M391" s="81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81"/>
      <c r="L392" s="5"/>
      <c r="M392" s="81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81"/>
      <c r="L393" s="5"/>
      <c r="M393" s="81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81"/>
      <c r="L394" s="5"/>
      <c r="M394" s="81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81"/>
      <c r="L395" s="5"/>
      <c r="M395" s="81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81"/>
      <c r="L396" s="5"/>
      <c r="M396" s="81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81"/>
      <c r="L397" s="5"/>
      <c r="M397" s="81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81"/>
      <c r="L398" s="5"/>
      <c r="M398" s="81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81"/>
      <c r="L399" s="5"/>
      <c r="M399" s="81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81"/>
      <c r="L400" s="5"/>
      <c r="M400" s="81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81"/>
      <c r="L401" s="5"/>
      <c r="M401" s="81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81"/>
      <c r="L402" s="5"/>
      <c r="M402" s="81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81"/>
      <c r="L403" s="5"/>
      <c r="M403" s="81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81"/>
      <c r="L404" s="5"/>
      <c r="M404" s="81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81"/>
      <c r="L405" s="5"/>
      <c r="M405" s="81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81"/>
      <c r="L406" s="5"/>
      <c r="M406" s="81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81"/>
      <c r="L407" s="5"/>
      <c r="M407" s="81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81"/>
      <c r="L408" s="5"/>
      <c r="M408" s="81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81"/>
      <c r="L409" s="5"/>
      <c r="M409" s="81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81"/>
      <c r="L410" s="5"/>
      <c r="M410" s="81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81"/>
      <c r="L411" s="5"/>
      <c r="M411" s="81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81"/>
      <c r="L412" s="5"/>
      <c r="M412" s="81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81"/>
      <c r="L413" s="5"/>
      <c r="M413" s="81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81"/>
      <c r="L414" s="5"/>
      <c r="M414" s="81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81"/>
      <c r="L415" s="5"/>
      <c r="M415" s="81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81"/>
      <c r="L416" s="5"/>
      <c r="M416" s="81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81"/>
      <c r="L417" s="5"/>
      <c r="M417" s="81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81"/>
      <c r="L418" s="5"/>
      <c r="M418" s="81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81"/>
      <c r="L419" s="5"/>
      <c r="M419" s="81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81"/>
      <c r="L420" s="5"/>
      <c r="M420" s="81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81"/>
      <c r="L421" s="5"/>
      <c r="M421" s="81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81"/>
      <c r="L422" s="5"/>
      <c r="M422" s="81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81"/>
      <c r="L423" s="5"/>
      <c r="M423" s="81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81"/>
      <c r="L424" s="5"/>
      <c r="M424" s="81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81"/>
      <c r="L425" s="5"/>
      <c r="M425" s="81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81"/>
      <c r="L426" s="5"/>
      <c r="M426" s="81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81"/>
      <c r="L427" s="5"/>
      <c r="M427" s="81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81"/>
      <c r="L428" s="5"/>
      <c r="M428" s="81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81"/>
      <c r="L429" s="5"/>
      <c r="M429" s="81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81"/>
      <c r="L430" s="5"/>
      <c r="M430" s="81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81"/>
      <c r="L431" s="5"/>
      <c r="M431" s="81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81"/>
      <c r="L432" s="5"/>
      <c r="M432" s="81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81"/>
      <c r="L433" s="5"/>
      <c r="M433" s="81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81"/>
      <c r="L434" s="5"/>
      <c r="M434" s="81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81"/>
      <c r="L435" s="5"/>
      <c r="M435" s="81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81"/>
      <c r="L436" s="5"/>
      <c r="M436" s="81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81"/>
      <c r="L437" s="5"/>
      <c r="M437" s="81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81"/>
      <c r="L438" s="5"/>
      <c r="M438" s="81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81"/>
      <c r="L439" s="5"/>
      <c r="M439" s="81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81"/>
      <c r="L440" s="5"/>
      <c r="M440" s="81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81"/>
      <c r="L441" s="5"/>
      <c r="M441" s="81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81"/>
      <c r="L442" s="5"/>
      <c r="M442" s="81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81"/>
      <c r="L443" s="5"/>
      <c r="M443" s="81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81"/>
      <c r="L444" s="5"/>
      <c r="M444" s="81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81"/>
      <c r="L445" s="5"/>
      <c r="M445" s="81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81"/>
      <c r="L446" s="5"/>
      <c r="M446" s="81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81"/>
      <c r="L447" s="5"/>
      <c r="M447" s="81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81"/>
      <c r="L448" s="5"/>
      <c r="M448" s="81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81"/>
      <c r="L449" s="5"/>
      <c r="M449" s="81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81"/>
      <c r="L450" s="5"/>
      <c r="M450" s="81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81"/>
      <c r="L451" s="5"/>
      <c r="M451" s="81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81"/>
      <c r="L452" s="5"/>
      <c r="M452" s="81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81"/>
      <c r="L453" s="5"/>
      <c r="M453" s="81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81"/>
      <c r="L454" s="5"/>
      <c r="M454" s="81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81"/>
      <c r="L455" s="5"/>
      <c r="M455" s="81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81"/>
      <c r="L456" s="5"/>
      <c r="M456" s="81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81"/>
      <c r="L457" s="5"/>
      <c r="M457" s="81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81"/>
      <c r="L458" s="5"/>
      <c r="M458" s="81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81"/>
      <c r="L459" s="5"/>
      <c r="M459" s="81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81"/>
      <c r="L460" s="5"/>
      <c r="M460" s="81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81"/>
      <c r="L461" s="5"/>
      <c r="M461" s="81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81"/>
      <c r="L462" s="5"/>
      <c r="M462" s="81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81"/>
      <c r="L463" s="5"/>
      <c r="M463" s="81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81"/>
      <c r="L464" s="5"/>
      <c r="M464" s="81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81"/>
      <c r="L465" s="5"/>
      <c r="M465" s="81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81"/>
      <c r="L466" s="5"/>
      <c r="M466" s="81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81"/>
      <c r="L467" s="5"/>
      <c r="M467" s="81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81"/>
      <c r="L468" s="5"/>
      <c r="M468" s="81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81"/>
      <c r="L469" s="5"/>
      <c r="M469" s="81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81"/>
      <c r="L470" s="5"/>
      <c r="M470" s="81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81"/>
      <c r="L471" s="5"/>
      <c r="M471" s="81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81"/>
      <c r="L472" s="5"/>
      <c r="M472" s="81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81"/>
      <c r="L473" s="5"/>
      <c r="M473" s="81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81"/>
      <c r="L474" s="5"/>
      <c r="M474" s="81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81"/>
      <c r="L475" s="5"/>
      <c r="M475" s="81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81"/>
      <c r="L476" s="5"/>
      <c r="M476" s="81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81"/>
      <c r="L477" s="5"/>
      <c r="M477" s="81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81"/>
      <c r="L478" s="5"/>
      <c r="M478" s="81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81"/>
      <c r="L479" s="5"/>
      <c r="M479" s="81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81"/>
      <c r="L480" s="5"/>
      <c r="M480" s="81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81"/>
      <c r="L481" s="5"/>
      <c r="M481" s="81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81"/>
      <c r="L482" s="5"/>
      <c r="M482" s="81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81"/>
      <c r="L483" s="5"/>
      <c r="M483" s="81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81"/>
      <c r="L484" s="5"/>
      <c r="M484" s="81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81"/>
      <c r="L485" s="5"/>
      <c r="M485" s="81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81"/>
      <c r="L486" s="5"/>
      <c r="M486" s="81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81"/>
      <c r="L487" s="5"/>
      <c r="M487" s="81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81"/>
      <c r="L488" s="5"/>
      <c r="M488" s="81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81"/>
      <c r="L489" s="5"/>
      <c r="M489" s="81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81"/>
      <c r="L490" s="5"/>
      <c r="M490" s="81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81"/>
      <c r="L491" s="5"/>
      <c r="M491" s="81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81"/>
      <c r="L492" s="5"/>
      <c r="M492" s="81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81"/>
      <c r="L493" s="5"/>
      <c r="M493" s="81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81"/>
      <c r="L494" s="5"/>
      <c r="M494" s="81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81"/>
      <c r="L495" s="5"/>
      <c r="M495" s="81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81"/>
      <c r="L496" s="5"/>
      <c r="M496" s="81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81"/>
      <c r="L497" s="5"/>
      <c r="M497" s="81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81"/>
      <c r="L498" s="5"/>
      <c r="M498" s="81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81"/>
      <c r="L499" s="5"/>
      <c r="M499" s="81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81"/>
      <c r="L500" s="5"/>
      <c r="M500" s="81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81"/>
      <c r="L501" s="5"/>
      <c r="M501" s="81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81"/>
      <c r="L502" s="5"/>
      <c r="M502" s="81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81"/>
      <c r="L503" s="5"/>
      <c r="M503" s="81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81"/>
      <c r="L504" s="5"/>
      <c r="M504" s="81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81"/>
      <c r="L505" s="5"/>
      <c r="M505" s="81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81"/>
      <c r="L506" s="5"/>
      <c r="M506" s="81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81"/>
      <c r="L507" s="5"/>
      <c r="M507" s="81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81"/>
      <c r="L508" s="5"/>
      <c r="M508" s="81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81"/>
      <c r="L509" s="5"/>
      <c r="M509" s="81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81"/>
      <c r="L510" s="5"/>
      <c r="M510" s="81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81"/>
      <c r="L511" s="5"/>
      <c r="M511" s="81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81"/>
      <c r="L512" s="5"/>
      <c r="M512" s="81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81"/>
      <c r="L513" s="5"/>
      <c r="M513" s="81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81"/>
      <c r="L514" s="5"/>
      <c r="M514" s="81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81"/>
      <c r="L515" s="5"/>
      <c r="M515" s="81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81"/>
      <c r="L516" s="5"/>
      <c r="M516" s="81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81"/>
      <c r="L517" s="5"/>
      <c r="M517" s="81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81"/>
      <c r="L518" s="5"/>
      <c r="M518" s="81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81"/>
      <c r="L519" s="5"/>
      <c r="M519" s="81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81"/>
      <c r="L520" s="5"/>
      <c r="M520" s="81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81"/>
      <c r="L521" s="5"/>
      <c r="M521" s="81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81"/>
      <c r="L522" s="5"/>
      <c r="M522" s="81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81"/>
      <c r="L523" s="5"/>
      <c r="M523" s="81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81"/>
      <c r="L524" s="5"/>
      <c r="M524" s="81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81"/>
      <c r="L525" s="5"/>
      <c r="M525" s="81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81"/>
      <c r="L526" s="5"/>
      <c r="M526" s="81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81"/>
      <c r="L527" s="5"/>
      <c r="M527" s="81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81"/>
      <c r="L528" s="5"/>
      <c r="M528" s="81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81"/>
      <c r="L529" s="5"/>
      <c r="M529" s="81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81"/>
      <c r="L530" s="5"/>
      <c r="M530" s="81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81"/>
      <c r="L531" s="5"/>
      <c r="M531" s="81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81"/>
      <c r="L532" s="5"/>
      <c r="M532" s="81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81"/>
      <c r="L533" s="5"/>
      <c r="M533" s="81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81"/>
      <c r="L534" s="5"/>
      <c r="M534" s="81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81"/>
      <c r="L535" s="5"/>
      <c r="M535" s="81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81"/>
      <c r="L536" s="5"/>
      <c r="M536" s="81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81"/>
      <c r="L537" s="5"/>
      <c r="M537" s="81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81"/>
      <c r="L538" s="5"/>
      <c r="M538" s="81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81"/>
      <c r="L539" s="5"/>
      <c r="M539" s="81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81"/>
      <c r="L540" s="5"/>
      <c r="M540" s="81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81"/>
      <c r="L541" s="5"/>
      <c r="M541" s="81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81"/>
      <c r="L542" s="5"/>
      <c r="M542" s="81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81"/>
      <c r="L543" s="5"/>
      <c r="M543" s="81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81"/>
      <c r="L544" s="5"/>
      <c r="M544" s="81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81"/>
      <c r="L545" s="5"/>
      <c r="M545" s="81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81"/>
      <c r="L546" s="5"/>
      <c r="M546" s="81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81"/>
      <c r="L547" s="5"/>
      <c r="M547" s="81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81"/>
      <c r="L548" s="5"/>
      <c r="M548" s="81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81"/>
      <c r="L549" s="5"/>
      <c r="M549" s="81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81"/>
      <c r="L550" s="5"/>
      <c r="M550" s="81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81"/>
      <c r="L551" s="5"/>
      <c r="M551" s="81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81"/>
      <c r="L552" s="5"/>
      <c r="M552" s="81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81"/>
      <c r="L553" s="5"/>
      <c r="M553" s="81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81"/>
      <c r="L554" s="5"/>
      <c r="M554" s="81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81"/>
      <c r="L555" s="5"/>
      <c r="M555" s="81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81"/>
      <c r="L556" s="5"/>
      <c r="M556" s="81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81"/>
      <c r="L557" s="5"/>
      <c r="M557" s="81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81"/>
      <c r="L558" s="5"/>
      <c r="M558" s="81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81"/>
      <c r="L559" s="5"/>
      <c r="M559" s="81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81"/>
      <c r="L560" s="5"/>
      <c r="M560" s="81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81"/>
      <c r="L561" s="5"/>
      <c r="M561" s="81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81"/>
      <c r="L562" s="5"/>
      <c r="M562" s="81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81"/>
      <c r="L563" s="5"/>
      <c r="M563" s="81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81"/>
      <c r="L564" s="5"/>
      <c r="M564" s="81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81"/>
      <c r="L565" s="5"/>
      <c r="M565" s="81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81"/>
      <c r="L566" s="5"/>
      <c r="M566" s="81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81"/>
      <c r="L567" s="5"/>
      <c r="M567" s="81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81"/>
      <c r="L568" s="5"/>
      <c r="M568" s="81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81"/>
      <c r="L569" s="5"/>
      <c r="M569" s="81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81"/>
      <c r="L570" s="5"/>
      <c r="M570" s="81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81"/>
      <c r="L571" s="5"/>
      <c r="M571" s="81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81"/>
      <c r="L572" s="5"/>
      <c r="M572" s="81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81"/>
      <c r="L573" s="5"/>
      <c r="M573" s="81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81"/>
      <c r="L574" s="5"/>
      <c r="M574" s="81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81"/>
      <c r="L575" s="5"/>
      <c r="M575" s="81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81"/>
      <c r="L576" s="5"/>
      <c r="M576" s="81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81"/>
      <c r="L577" s="5"/>
      <c r="M577" s="81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81"/>
      <c r="L578" s="5"/>
      <c r="M578" s="81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81"/>
      <c r="L579" s="5"/>
      <c r="M579" s="81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81"/>
      <c r="L580" s="5"/>
      <c r="M580" s="81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81"/>
      <c r="L581" s="5"/>
      <c r="M581" s="81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81"/>
      <c r="L582" s="5"/>
      <c r="M582" s="81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81"/>
      <c r="L583" s="5"/>
      <c r="M583" s="81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81"/>
      <c r="L584" s="5"/>
      <c r="M584" s="81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81"/>
      <c r="L585" s="5"/>
      <c r="M585" s="81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81"/>
      <c r="L586" s="5"/>
      <c r="M586" s="81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81"/>
      <c r="L587" s="5"/>
      <c r="M587" s="81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81"/>
      <c r="L588" s="5"/>
      <c r="M588" s="81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81"/>
      <c r="L589" s="5"/>
      <c r="M589" s="81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81"/>
      <c r="L590" s="5"/>
      <c r="M590" s="81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81"/>
      <c r="L591" s="5"/>
      <c r="M591" s="81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81"/>
      <c r="L592" s="5"/>
      <c r="M592" s="81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81"/>
      <c r="L593" s="5"/>
      <c r="M593" s="81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81"/>
      <c r="L594" s="5"/>
      <c r="M594" s="81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81"/>
      <c r="L595" s="5"/>
      <c r="M595" s="81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81"/>
      <c r="L596" s="5"/>
      <c r="M596" s="81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81"/>
      <c r="L597" s="5"/>
      <c r="M597" s="81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81"/>
      <c r="L598" s="5"/>
      <c r="M598" s="81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81"/>
      <c r="L599" s="5"/>
      <c r="M599" s="81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81"/>
      <c r="L600" s="5"/>
      <c r="M600" s="81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81"/>
      <c r="L601" s="5"/>
      <c r="M601" s="81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81"/>
      <c r="L602" s="5"/>
      <c r="M602" s="81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81"/>
      <c r="L603" s="5"/>
      <c r="M603" s="81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81"/>
      <c r="L604" s="5"/>
      <c r="M604" s="81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81"/>
      <c r="L605" s="5"/>
      <c r="M605" s="81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81"/>
      <c r="L606" s="5"/>
      <c r="M606" s="81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81"/>
      <c r="L607" s="5"/>
      <c r="M607" s="81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81"/>
      <c r="L608" s="5"/>
      <c r="M608" s="81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81"/>
      <c r="L609" s="5"/>
      <c r="M609" s="81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81"/>
      <c r="L610" s="5"/>
      <c r="M610" s="81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81"/>
      <c r="L611" s="5"/>
      <c r="M611" s="81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81"/>
      <c r="L612" s="5"/>
      <c r="M612" s="81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81"/>
      <c r="L613" s="5"/>
      <c r="M613" s="81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81"/>
      <c r="L614" s="5"/>
      <c r="M614" s="81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81"/>
      <c r="L615" s="5"/>
      <c r="M615" s="81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81"/>
      <c r="L616" s="5"/>
      <c r="M616" s="81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81"/>
      <c r="L617" s="5"/>
      <c r="M617" s="81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81"/>
      <c r="L618" s="5"/>
      <c r="M618" s="81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81"/>
      <c r="L619" s="5"/>
      <c r="M619" s="81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81"/>
      <c r="L620" s="5"/>
      <c r="M620" s="81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81"/>
      <c r="L621" s="5"/>
      <c r="M621" s="81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81"/>
      <c r="L622" s="5"/>
      <c r="M622" s="81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81"/>
      <c r="L623" s="5"/>
      <c r="M623" s="81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81"/>
      <c r="L624" s="5"/>
      <c r="M624" s="81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81"/>
      <c r="L625" s="5"/>
      <c r="M625" s="81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81"/>
      <c r="L626" s="5"/>
      <c r="M626" s="81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81"/>
      <c r="L627" s="5"/>
      <c r="M627" s="81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81"/>
      <c r="L628" s="5"/>
      <c r="M628" s="81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81"/>
      <c r="L629" s="5"/>
      <c r="M629" s="81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81"/>
      <c r="L630" s="5"/>
      <c r="M630" s="81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81"/>
      <c r="L631" s="5"/>
      <c r="M631" s="81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81"/>
      <c r="L632" s="5"/>
      <c r="M632" s="81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81"/>
      <c r="L633" s="5"/>
      <c r="M633" s="81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81"/>
      <c r="L634" s="5"/>
      <c r="M634" s="81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81"/>
      <c r="L635" s="5"/>
      <c r="M635" s="81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81"/>
      <c r="L636" s="5"/>
      <c r="M636" s="81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81"/>
      <c r="L637" s="5"/>
      <c r="M637" s="81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81"/>
      <c r="L638" s="5"/>
      <c r="M638" s="81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81"/>
      <c r="L639" s="5"/>
      <c r="M639" s="81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81"/>
      <c r="L640" s="5"/>
      <c r="M640" s="81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81"/>
      <c r="L641" s="5"/>
      <c r="M641" s="81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81"/>
      <c r="L642" s="5"/>
      <c r="M642" s="81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81"/>
      <c r="L643" s="5"/>
      <c r="M643" s="81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81"/>
      <c r="L644" s="5"/>
      <c r="M644" s="81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81"/>
      <c r="L645" s="5"/>
      <c r="M645" s="81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81"/>
      <c r="L646" s="5"/>
      <c r="M646" s="81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81"/>
      <c r="L647" s="5"/>
      <c r="M647" s="81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81"/>
      <c r="L648" s="5"/>
      <c r="M648" s="81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81"/>
      <c r="L649" s="5"/>
      <c r="M649" s="81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81"/>
      <c r="L650" s="5"/>
      <c r="M650" s="81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81"/>
      <c r="L651" s="5"/>
      <c r="M651" s="81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81"/>
      <c r="L652" s="5"/>
      <c r="M652" s="81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81"/>
      <c r="L653" s="5"/>
      <c r="M653" s="81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81"/>
      <c r="L654" s="5"/>
      <c r="M654" s="81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81"/>
      <c r="L655" s="5"/>
      <c r="M655" s="81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81"/>
      <c r="L656" s="5"/>
      <c r="M656" s="81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81"/>
      <c r="L657" s="5"/>
      <c r="M657" s="81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81"/>
      <c r="L658" s="5"/>
      <c r="M658" s="81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81"/>
      <c r="L659" s="5"/>
      <c r="M659" s="81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81"/>
      <c r="L660" s="5"/>
      <c r="M660" s="81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81"/>
      <c r="L661" s="5"/>
      <c r="M661" s="81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81"/>
      <c r="L662" s="5"/>
      <c r="M662" s="81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81"/>
      <c r="L663" s="5"/>
      <c r="M663" s="81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81"/>
      <c r="L664" s="5"/>
      <c r="M664" s="81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81"/>
      <c r="L665" s="5"/>
      <c r="M665" s="81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81"/>
      <c r="L666" s="5"/>
      <c r="M666" s="81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81"/>
      <c r="L667" s="5"/>
      <c r="M667" s="81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81"/>
      <c r="L668" s="5"/>
      <c r="M668" s="81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81"/>
      <c r="L669" s="5"/>
      <c r="M669" s="81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81"/>
      <c r="L670" s="5"/>
      <c r="M670" s="81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81"/>
      <c r="L671" s="5"/>
      <c r="M671" s="81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81"/>
      <c r="L672" s="5"/>
      <c r="M672" s="81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81"/>
      <c r="L673" s="5"/>
      <c r="M673" s="81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81"/>
      <c r="L674" s="5"/>
      <c r="M674" s="81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81"/>
      <c r="L675" s="5"/>
      <c r="M675" s="81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81"/>
      <c r="L676" s="5"/>
      <c r="M676" s="81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81"/>
      <c r="L677" s="5"/>
      <c r="M677" s="81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81"/>
      <c r="L678" s="5"/>
      <c r="M678" s="81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81"/>
      <c r="L679" s="5"/>
      <c r="M679" s="81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81"/>
      <c r="L680" s="5"/>
      <c r="M680" s="81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81"/>
      <c r="L681" s="5"/>
      <c r="M681" s="81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81"/>
      <c r="L682" s="5"/>
      <c r="M682" s="81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81"/>
      <c r="L683" s="5"/>
      <c r="M683" s="81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81"/>
      <c r="L684" s="5"/>
      <c r="M684" s="81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81"/>
      <c r="L685" s="5"/>
      <c r="M685" s="81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81"/>
      <c r="L686" s="5"/>
      <c r="M686" s="81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81"/>
      <c r="L687" s="5"/>
      <c r="M687" s="81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81"/>
      <c r="L688" s="5"/>
      <c r="M688" s="81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81"/>
      <c r="L689" s="5"/>
      <c r="M689" s="81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81"/>
      <c r="L690" s="5"/>
      <c r="M690" s="81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81"/>
      <c r="L691" s="5"/>
      <c r="M691" s="81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81"/>
      <c r="L692" s="5"/>
      <c r="M692" s="81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81"/>
      <c r="L693" s="5"/>
      <c r="M693" s="81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81"/>
      <c r="L694" s="5"/>
      <c r="M694" s="81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81"/>
      <c r="L695" s="5"/>
      <c r="M695" s="81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81"/>
      <c r="L696" s="5"/>
      <c r="M696" s="81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81"/>
      <c r="L697" s="5"/>
      <c r="M697" s="81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81"/>
      <c r="L698" s="5"/>
      <c r="M698" s="81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81"/>
      <c r="L699" s="5"/>
      <c r="M699" s="81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81"/>
      <c r="L700" s="5"/>
      <c r="M700" s="81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81"/>
      <c r="L701" s="5"/>
      <c r="M701" s="81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81"/>
      <c r="L702" s="5"/>
      <c r="M702" s="81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81"/>
      <c r="L703" s="5"/>
      <c r="M703" s="81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81"/>
      <c r="L704" s="5"/>
      <c r="M704" s="81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81"/>
      <c r="L705" s="5"/>
      <c r="M705" s="81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81"/>
      <c r="L706" s="5"/>
      <c r="M706" s="81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81"/>
      <c r="L707" s="5"/>
      <c r="M707" s="81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81"/>
      <c r="L708" s="5"/>
      <c r="M708" s="81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81"/>
      <c r="L709" s="5"/>
      <c r="M709" s="81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81"/>
      <c r="L710" s="5"/>
      <c r="M710" s="81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81"/>
      <c r="L711" s="5"/>
      <c r="M711" s="81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81"/>
      <c r="L712" s="5"/>
      <c r="M712" s="81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81"/>
      <c r="L713" s="5"/>
      <c r="M713" s="81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81"/>
      <c r="L714" s="5"/>
      <c r="M714" s="81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81"/>
      <c r="L715" s="5"/>
      <c r="M715" s="81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81"/>
      <c r="L716" s="5"/>
      <c r="M716" s="81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81"/>
      <c r="L717" s="5"/>
      <c r="M717" s="81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81"/>
      <c r="L718" s="5"/>
      <c r="M718" s="81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81"/>
      <c r="L719" s="5"/>
      <c r="M719" s="81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81"/>
      <c r="L720" s="5"/>
      <c r="M720" s="81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81"/>
      <c r="L721" s="5"/>
      <c r="M721" s="81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81"/>
      <c r="L722" s="5"/>
      <c r="M722" s="81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81"/>
      <c r="L723" s="5"/>
      <c r="M723" s="81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81"/>
      <c r="L724" s="5"/>
      <c r="M724" s="81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81"/>
      <c r="L725" s="5"/>
      <c r="M725" s="81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81"/>
      <c r="L726" s="5"/>
      <c r="M726" s="81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81"/>
      <c r="L727" s="5"/>
      <c r="M727" s="81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81"/>
      <c r="L728" s="5"/>
      <c r="M728" s="81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81"/>
      <c r="L729" s="5"/>
      <c r="M729" s="81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81"/>
      <c r="L730" s="5"/>
      <c r="M730" s="81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81"/>
      <c r="L731" s="5"/>
      <c r="M731" s="81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81"/>
      <c r="L732" s="5"/>
      <c r="M732" s="81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81"/>
      <c r="L733" s="5"/>
      <c r="M733" s="81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81"/>
      <c r="L734" s="5"/>
      <c r="M734" s="81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81"/>
      <c r="L735" s="5"/>
      <c r="M735" s="81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81"/>
      <c r="L736" s="5"/>
      <c r="M736" s="81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81"/>
      <c r="L737" s="5"/>
      <c r="M737" s="81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81"/>
      <c r="L738" s="5"/>
      <c r="M738" s="81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81"/>
      <c r="L739" s="5"/>
      <c r="M739" s="81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81"/>
      <c r="L740" s="5"/>
      <c r="M740" s="81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81"/>
      <c r="L741" s="5"/>
      <c r="M741" s="81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81"/>
      <c r="L742" s="5"/>
      <c r="M742" s="81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81"/>
      <c r="L743" s="5"/>
      <c r="M743" s="81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81"/>
      <c r="L744" s="5"/>
      <c r="M744" s="81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81"/>
      <c r="L745" s="5"/>
      <c r="M745" s="81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81"/>
      <c r="L746" s="5"/>
      <c r="M746" s="81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81"/>
      <c r="L747" s="5"/>
      <c r="M747" s="81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81"/>
      <c r="L748" s="5"/>
      <c r="M748" s="81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81"/>
      <c r="L749" s="5"/>
      <c r="M749" s="81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81"/>
      <c r="L750" s="5"/>
      <c r="M750" s="81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81"/>
      <c r="L751" s="5"/>
      <c r="M751" s="81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81"/>
      <c r="L752" s="5"/>
      <c r="M752" s="81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81"/>
      <c r="L753" s="5"/>
      <c r="M753" s="81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81"/>
      <c r="L754" s="5"/>
      <c r="M754" s="81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81"/>
      <c r="L755" s="5"/>
      <c r="M755" s="81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81"/>
      <c r="L756" s="5"/>
      <c r="M756" s="81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81"/>
      <c r="L757" s="5"/>
      <c r="M757" s="81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81"/>
      <c r="L758" s="5"/>
      <c r="M758" s="81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81"/>
      <c r="L759" s="5"/>
      <c r="M759" s="81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81"/>
      <c r="L760" s="5"/>
      <c r="M760" s="81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81"/>
      <c r="L761" s="5"/>
      <c r="M761" s="81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81"/>
      <c r="L762" s="5"/>
      <c r="M762" s="81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81"/>
      <c r="L763" s="5"/>
      <c r="M763" s="81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81"/>
      <c r="L764" s="5"/>
      <c r="M764" s="81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81"/>
      <c r="L765" s="5"/>
      <c r="M765" s="81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81"/>
      <c r="L766" s="5"/>
      <c r="M766" s="81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81"/>
      <c r="L767" s="5"/>
      <c r="M767" s="81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81"/>
      <c r="L768" s="5"/>
      <c r="M768" s="81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81"/>
      <c r="L769" s="5"/>
      <c r="M769" s="81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81"/>
      <c r="L770" s="5"/>
      <c r="M770" s="81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81"/>
      <c r="L771" s="5"/>
      <c r="M771" s="81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81"/>
      <c r="L772" s="5"/>
      <c r="M772" s="81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81"/>
      <c r="L773" s="5"/>
      <c r="M773" s="81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81"/>
      <c r="L774" s="5"/>
      <c r="M774" s="81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81"/>
      <c r="L775" s="5"/>
      <c r="M775" s="81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81"/>
      <c r="L776" s="5"/>
      <c r="M776" s="81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81"/>
      <c r="L777" s="5"/>
      <c r="M777" s="81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81"/>
      <c r="L778" s="5"/>
      <c r="M778" s="81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81"/>
      <c r="L779" s="5"/>
      <c r="M779" s="81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81"/>
      <c r="L780" s="5"/>
      <c r="M780" s="81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81"/>
      <c r="L781" s="5"/>
      <c r="M781" s="81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81"/>
      <c r="L782" s="5"/>
      <c r="M782" s="81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81"/>
      <c r="L783" s="5"/>
      <c r="M783" s="81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81"/>
      <c r="L784" s="5"/>
      <c r="M784" s="81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81"/>
      <c r="L785" s="5"/>
      <c r="M785" s="81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81"/>
      <c r="L786" s="5"/>
      <c r="M786" s="81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81"/>
      <c r="L787" s="5"/>
      <c r="M787" s="81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81"/>
      <c r="L788" s="5"/>
      <c r="M788" s="81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81"/>
      <c r="L789" s="5"/>
      <c r="M789" s="81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81"/>
      <c r="L790" s="5"/>
      <c r="M790" s="81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81"/>
      <c r="L791" s="5"/>
      <c r="M791" s="81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81"/>
      <c r="L792" s="5"/>
      <c r="M792" s="81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81"/>
      <c r="L793" s="5"/>
      <c r="M793" s="81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81"/>
      <c r="L794" s="5"/>
      <c r="M794" s="81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81"/>
      <c r="L795" s="5"/>
      <c r="M795" s="81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81"/>
      <c r="L796" s="5"/>
      <c r="M796" s="81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81"/>
      <c r="L797" s="5"/>
      <c r="M797" s="81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81"/>
      <c r="L798" s="5"/>
      <c r="M798" s="81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81"/>
      <c r="L799" s="5"/>
      <c r="M799" s="81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81"/>
      <c r="L800" s="5"/>
      <c r="M800" s="81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81"/>
      <c r="L801" s="5"/>
      <c r="M801" s="81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81"/>
      <c r="L802" s="5"/>
      <c r="M802" s="81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81"/>
      <c r="L803" s="5"/>
      <c r="M803" s="81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81"/>
      <c r="L804" s="5"/>
      <c r="M804" s="81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81"/>
      <c r="L805" s="5"/>
      <c r="M805" s="81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81"/>
      <c r="L806" s="5"/>
      <c r="M806" s="81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81"/>
      <c r="L807" s="5"/>
      <c r="M807" s="81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81"/>
      <c r="L808" s="5"/>
      <c r="M808" s="81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81"/>
      <c r="L809" s="5"/>
      <c r="M809" s="81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81"/>
      <c r="L810" s="5"/>
      <c r="M810" s="81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81"/>
      <c r="L811" s="5"/>
      <c r="M811" s="81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81"/>
      <c r="L812" s="5"/>
      <c r="M812" s="81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81"/>
      <c r="L813" s="5"/>
      <c r="M813" s="81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81"/>
      <c r="L814" s="5"/>
      <c r="M814" s="81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81"/>
      <c r="L815" s="5"/>
      <c r="M815" s="81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81"/>
      <c r="L816" s="5"/>
      <c r="M816" s="81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81"/>
      <c r="L817" s="5"/>
      <c r="M817" s="81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81"/>
      <c r="L818" s="5"/>
      <c r="M818" s="81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81"/>
      <c r="L819" s="5"/>
      <c r="M819" s="81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81"/>
      <c r="L820" s="5"/>
      <c r="M820" s="81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81"/>
      <c r="L821" s="5"/>
      <c r="M821" s="81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81"/>
      <c r="L822" s="5"/>
      <c r="M822" s="81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81"/>
      <c r="L823" s="5"/>
      <c r="M823" s="81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81"/>
      <c r="L824" s="5"/>
      <c r="M824" s="81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81"/>
      <c r="L825" s="5"/>
      <c r="M825" s="81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81"/>
      <c r="L826" s="5"/>
      <c r="M826" s="81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81"/>
      <c r="L827" s="5"/>
      <c r="M827" s="81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81"/>
      <c r="L828" s="5"/>
      <c r="M828" s="81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81"/>
      <c r="L829" s="5"/>
      <c r="M829" s="81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81"/>
      <c r="L830" s="5"/>
      <c r="M830" s="81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81"/>
      <c r="L831" s="5"/>
      <c r="M831" s="81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81"/>
      <c r="L832" s="5"/>
      <c r="M832" s="81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81"/>
      <c r="L833" s="5"/>
      <c r="M833" s="81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81"/>
      <c r="L834" s="5"/>
      <c r="M834" s="81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81"/>
      <c r="L835" s="5"/>
      <c r="M835" s="81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81"/>
      <c r="L836" s="5"/>
      <c r="M836" s="81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81"/>
      <c r="L837" s="5"/>
      <c r="M837" s="81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81"/>
      <c r="L838" s="5"/>
      <c r="M838" s="81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81"/>
      <c r="L839" s="5"/>
      <c r="M839" s="81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81"/>
      <c r="L840" s="5"/>
      <c r="M840" s="81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81"/>
      <c r="L841" s="5"/>
      <c r="M841" s="81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81"/>
      <c r="L842" s="5"/>
      <c r="M842" s="81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81"/>
      <c r="L843" s="5"/>
      <c r="M843" s="81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81"/>
      <c r="L844" s="5"/>
      <c r="M844" s="81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81"/>
      <c r="L845" s="5"/>
      <c r="M845" s="81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81"/>
      <c r="L846" s="5"/>
      <c r="M846" s="81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81"/>
      <c r="L847" s="5"/>
      <c r="M847" s="81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81"/>
      <c r="L848" s="5"/>
      <c r="M848" s="81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81"/>
      <c r="L849" s="5"/>
      <c r="M849" s="81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81"/>
      <c r="L850" s="5"/>
      <c r="M850" s="81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81"/>
      <c r="L851" s="5"/>
      <c r="M851" s="81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81"/>
      <c r="L852" s="5"/>
      <c r="M852" s="81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81"/>
      <c r="L853" s="5"/>
      <c r="M853" s="81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81"/>
      <c r="L854" s="5"/>
      <c r="M854" s="81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81"/>
      <c r="L855" s="5"/>
      <c r="M855" s="81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81"/>
      <c r="L856" s="5"/>
      <c r="M856" s="81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81"/>
      <c r="L857" s="5"/>
      <c r="M857" s="81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81"/>
      <c r="L858" s="5"/>
      <c r="M858" s="81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81"/>
      <c r="L859" s="5"/>
      <c r="M859" s="81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81"/>
      <c r="L860" s="5"/>
      <c r="M860" s="81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81"/>
      <c r="L861" s="5"/>
      <c r="M861" s="81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81"/>
      <c r="L862" s="5"/>
      <c r="M862" s="81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81"/>
      <c r="L863" s="5"/>
      <c r="M863" s="81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81"/>
      <c r="L864" s="5"/>
      <c r="M864" s="81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81"/>
      <c r="L865" s="5"/>
      <c r="M865" s="81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81"/>
      <c r="L866" s="5"/>
      <c r="M866" s="81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81"/>
      <c r="L867" s="5"/>
      <c r="M867" s="81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81"/>
      <c r="L868" s="5"/>
      <c r="M868" s="81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81"/>
      <c r="L869" s="5"/>
      <c r="M869" s="81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81"/>
      <c r="L870" s="5"/>
      <c r="M870" s="81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81"/>
      <c r="L871" s="5"/>
      <c r="M871" s="81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81"/>
      <c r="L872" s="5"/>
      <c r="M872" s="81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81"/>
      <c r="L873" s="5"/>
      <c r="M873" s="81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81"/>
      <c r="L874" s="5"/>
      <c r="M874" s="81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81"/>
      <c r="L875" s="5"/>
      <c r="M875" s="81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81"/>
      <c r="L876" s="5"/>
      <c r="M876" s="81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81"/>
      <c r="L877" s="5"/>
      <c r="M877" s="81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81"/>
      <c r="L878" s="5"/>
      <c r="M878" s="81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81"/>
      <c r="L879" s="5"/>
      <c r="M879" s="81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81"/>
      <c r="L880" s="5"/>
      <c r="M880" s="81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81"/>
      <c r="L881" s="5"/>
      <c r="M881" s="81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81"/>
      <c r="L882" s="5"/>
      <c r="M882" s="81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81"/>
      <c r="L883" s="5"/>
      <c r="M883" s="81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81"/>
      <c r="L884" s="5"/>
      <c r="M884" s="81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81"/>
      <c r="L885" s="5"/>
      <c r="M885" s="81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81"/>
      <c r="L886" s="5"/>
      <c r="M886" s="81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81"/>
      <c r="L887" s="5"/>
      <c r="M887" s="81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81"/>
      <c r="L888" s="5"/>
      <c r="M888" s="81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81"/>
      <c r="L889" s="5"/>
      <c r="M889" s="81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81"/>
      <c r="L890" s="5"/>
      <c r="M890" s="81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81"/>
      <c r="L891" s="5"/>
      <c r="M891" s="81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81"/>
      <c r="L892" s="5"/>
      <c r="M892" s="81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81"/>
      <c r="L893" s="5"/>
      <c r="M893" s="81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81"/>
      <c r="L894" s="5"/>
      <c r="M894" s="81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81"/>
      <c r="L895" s="5"/>
      <c r="M895" s="81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81"/>
      <c r="L896" s="5"/>
      <c r="M896" s="81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81"/>
      <c r="L897" s="5"/>
      <c r="M897" s="81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81"/>
      <c r="L898" s="5"/>
      <c r="M898" s="81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81"/>
      <c r="L899" s="5"/>
      <c r="M899" s="81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81"/>
      <c r="L900" s="5"/>
      <c r="M900" s="81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81"/>
      <c r="L901" s="5"/>
      <c r="M901" s="81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81"/>
      <c r="L902" s="5"/>
      <c r="M902" s="81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81"/>
      <c r="L903" s="5"/>
      <c r="M903" s="81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81"/>
      <c r="L904" s="5"/>
      <c r="M904" s="81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81"/>
      <c r="L905" s="5"/>
      <c r="M905" s="81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81"/>
      <c r="L906" s="5"/>
      <c r="M906" s="81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81"/>
      <c r="L907" s="5"/>
      <c r="M907" s="81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81"/>
      <c r="L908" s="5"/>
      <c r="M908" s="81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81"/>
      <c r="L909" s="5"/>
      <c r="M909" s="81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81"/>
      <c r="L910" s="5"/>
      <c r="M910" s="81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81"/>
      <c r="L911" s="5"/>
      <c r="M911" s="81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81"/>
      <c r="L912" s="5"/>
      <c r="M912" s="81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81"/>
      <c r="L913" s="5"/>
      <c r="M913" s="81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81"/>
      <c r="L914" s="5"/>
      <c r="M914" s="81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81"/>
      <c r="L915" s="5"/>
      <c r="M915" s="81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81"/>
      <c r="L916" s="5"/>
      <c r="M916" s="81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81"/>
      <c r="L917" s="5"/>
      <c r="M917" s="81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81"/>
      <c r="L918" s="5"/>
      <c r="M918" s="81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81"/>
      <c r="L919" s="5"/>
      <c r="M919" s="81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81"/>
      <c r="L920" s="5"/>
      <c r="M920" s="81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81"/>
      <c r="L921" s="5"/>
      <c r="M921" s="81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81"/>
      <c r="L922" s="5"/>
      <c r="M922" s="81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81"/>
      <c r="L923" s="5"/>
      <c r="M923" s="81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81"/>
      <c r="L924" s="5"/>
      <c r="M924" s="81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81"/>
      <c r="L925" s="5"/>
      <c r="M925" s="81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81"/>
      <c r="L926" s="5"/>
      <c r="M926" s="81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81"/>
      <c r="L927" s="5"/>
      <c r="M927" s="81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81"/>
      <c r="L928" s="5"/>
      <c r="M928" s="81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81"/>
      <c r="L929" s="5"/>
      <c r="M929" s="81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81"/>
      <c r="L930" s="5"/>
      <c r="M930" s="81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81"/>
      <c r="L931" s="5"/>
      <c r="M931" s="81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81"/>
      <c r="L932" s="5"/>
      <c r="M932" s="81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81"/>
      <c r="L933" s="5"/>
      <c r="M933" s="81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81"/>
      <c r="L934" s="5"/>
      <c r="M934" s="81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81"/>
      <c r="L935" s="5"/>
      <c r="M935" s="81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81"/>
      <c r="L936" s="5"/>
      <c r="M936" s="81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81"/>
      <c r="L937" s="5"/>
      <c r="M937" s="81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81"/>
      <c r="L938" s="5"/>
      <c r="M938" s="81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81"/>
      <c r="L939" s="5"/>
      <c r="M939" s="81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81"/>
      <c r="L940" s="5"/>
      <c r="M940" s="81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81"/>
      <c r="L941" s="5"/>
      <c r="M941" s="81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81"/>
      <c r="L942" s="5"/>
      <c r="M942" s="81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81"/>
      <c r="L943" s="5"/>
      <c r="M943" s="81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81"/>
      <c r="L944" s="5"/>
      <c r="M944" s="81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81"/>
      <c r="L945" s="5"/>
      <c r="M945" s="81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81"/>
      <c r="L946" s="5"/>
      <c r="M946" s="81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81"/>
      <c r="L947" s="5"/>
      <c r="M947" s="81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81"/>
      <c r="L948" s="5"/>
      <c r="M948" s="81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81"/>
      <c r="L949" s="5"/>
      <c r="M949" s="81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81"/>
      <c r="L950" s="5"/>
      <c r="M950" s="81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81"/>
      <c r="L951" s="5"/>
      <c r="M951" s="81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81"/>
      <c r="L952" s="5"/>
      <c r="M952" s="81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81"/>
      <c r="L953" s="5"/>
      <c r="M953" s="81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81"/>
      <c r="L954" s="5"/>
      <c r="M954" s="81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81"/>
      <c r="L955" s="5"/>
      <c r="M955" s="81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81"/>
      <c r="L956" s="5"/>
      <c r="M956" s="81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81"/>
      <c r="L957" s="5"/>
      <c r="M957" s="81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81"/>
      <c r="L958" s="5"/>
      <c r="M958" s="81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81"/>
      <c r="L959" s="5"/>
      <c r="M959" s="81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81"/>
      <c r="L960" s="5"/>
      <c r="M960" s="81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81"/>
      <c r="L961" s="5"/>
      <c r="M961" s="81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81"/>
      <c r="L962" s="5"/>
      <c r="M962" s="81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81"/>
      <c r="L963" s="5"/>
      <c r="M963" s="81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81"/>
      <c r="L964" s="5"/>
      <c r="M964" s="81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81"/>
      <c r="L965" s="5"/>
      <c r="M965" s="81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81"/>
      <c r="L966" s="5"/>
      <c r="M966" s="81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81"/>
      <c r="L967" s="5"/>
      <c r="M967" s="81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81"/>
      <c r="L968" s="5"/>
      <c r="M968" s="81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81"/>
      <c r="L969" s="5"/>
      <c r="M969" s="81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81"/>
      <c r="L970" s="5"/>
      <c r="M970" s="81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81"/>
      <c r="L971" s="5"/>
      <c r="M971" s="81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81"/>
      <c r="L972" s="5"/>
      <c r="M972" s="81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81"/>
      <c r="L973" s="5"/>
      <c r="M973" s="81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81"/>
      <c r="L974" s="5"/>
      <c r="M974" s="81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81"/>
      <c r="L975" s="5"/>
      <c r="M975" s="81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81"/>
      <c r="L976" s="5"/>
      <c r="M976" s="81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81"/>
      <c r="L977" s="5"/>
      <c r="M977" s="81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81"/>
      <c r="L978" s="5"/>
      <c r="M978" s="81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81"/>
      <c r="L979" s="5"/>
      <c r="M979" s="81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81"/>
      <c r="L980" s="5"/>
      <c r="M980" s="81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81"/>
      <c r="L981" s="5"/>
      <c r="M981" s="81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81"/>
      <c r="L982" s="5"/>
      <c r="M982" s="81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81"/>
      <c r="L983" s="5"/>
      <c r="M983" s="81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81"/>
      <c r="L984" s="5"/>
      <c r="M984" s="81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81"/>
      <c r="L985" s="5"/>
      <c r="M985" s="81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81"/>
      <c r="L986" s="5"/>
      <c r="M986" s="81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81"/>
      <c r="L987" s="5"/>
      <c r="M987" s="81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81"/>
      <c r="L988" s="5"/>
      <c r="M988" s="81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81"/>
      <c r="L989" s="5"/>
      <c r="M989" s="81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81"/>
      <c r="L990" s="5"/>
      <c r="M990" s="81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7"/>
      <c r="L991" s="136"/>
      <c r="M991" s="138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</row>
    <row r="992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7"/>
      <c r="L992" s="136"/>
      <c r="M992" s="138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</row>
    <row r="993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7"/>
      <c r="L993" s="136"/>
      <c r="M993" s="138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</row>
    <row r="994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7"/>
      <c r="L994" s="136"/>
      <c r="M994" s="138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</row>
    <row r="995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7"/>
      <c r="L995" s="136"/>
      <c r="M995" s="138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</row>
    <row r="996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7"/>
      <c r="L996" s="136"/>
      <c r="M996" s="138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</row>
    <row r="997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7"/>
      <c r="L997" s="136"/>
      <c r="M997" s="138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</row>
    <row r="998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7"/>
      <c r="L998" s="136"/>
      <c r="M998" s="138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</row>
    <row r="999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7"/>
      <c r="L999" s="136"/>
      <c r="M999" s="138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</row>
    <row r="1000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7"/>
      <c r="L1000" s="136"/>
      <c r="M1000" s="138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</row>
  </sheetData>
  <mergeCells count="20">
    <mergeCell ref="H5:N5"/>
    <mergeCell ref="O5:Q5"/>
    <mergeCell ref="A1:R1"/>
    <mergeCell ref="A2:R2"/>
    <mergeCell ref="A3:R3"/>
    <mergeCell ref="A4:R4"/>
    <mergeCell ref="A5:A6"/>
    <mergeCell ref="C5:G5"/>
    <mergeCell ref="R5:R6"/>
    <mergeCell ref="D23:G23"/>
    <mergeCell ref="D24:G24"/>
    <mergeCell ref="M24:N24"/>
    <mergeCell ref="P24:R24"/>
    <mergeCell ref="B5:B6"/>
    <mergeCell ref="A21:C21"/>
    <mergeCell ref="D21:F21"/>
    <mergeCell ref="I21:M21"/>
    <mergeCell ref="I23:K23"/>
    <mergeCell ref="M23:O23"/>
    <mergeCell ref="P23:R23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hidden="1" min="2" max="2" width="6.63"/>
    <col customWidth="1" min="3" max="3" width="22.75"/>
    <col customWidth="1" min="4" max="4" width="10.13"/>
    <col customWidth="1" min="9" max="9" width="11.13"/>
    <col customWidth="1" hidden="1" min="10" max="10" width="10.13"/>
    <col customWidth="1" hidden="1" min="11" max="11" width="8.38"/>
  </cols>
  <sheetData>
    <row r="1">
      <c r="A1" s="1"/>
      <c r="B1" s="2"/>
      <c r="C1" s="3"/>
      <c r="D1" s="2"/>
      <c r="E1" s="2"/>
      <c r="F1" s="2"/>
      <c r="G1" s="2"/>
      <c r="H1" s="2"/>
      <c r="I1" s="7"/>
      <c r="J1" s="8"/>
      <c r="K1" s="8"/>
      <c r="L1" s="9"/>
      <c r="M1" s="10"/>
    </row>
    <row r="2">
      <c r="A2" s="12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  <c r="L2" s="9"/>
      <c r="M2" s="10"/>
    </row>
    <row r="3">
      <c r="A3" s="16" t="s">
        <v>5</v>
      </c>
      <c r="B3" s="20" t="s">
        <v>7</v>
      </c>
      <c r="C3" s="20" t="s">
        <v>9</v>
      </c>
      <c r="D3" s="23" t="s">
        <v>11</v>
      </c>
      <c r="E3" s="20" t="s">
        <v>12</v>
      </c>
      <c r="F3" s="20" t="s">
        <v>13</v>
      </c>
      <c r="G3" s="20" t="s">
        <v>14</v>
      </c>
      <c r="H3" s="23" t="s">
        <v>16</v>
      </c>
      <c r="I3" s="26" t="s">
        <v>17</v>
      </c>
      <c r="J3" s="30" t="s">
        <v>18</v>
      </c>
      <c r="K3" s="15"/>
      <c r="L3" s="9"/>
      <c r="M3" s="10"/>
    </row>
    <row r="4">
      <c r="A4" s="27"/>
      <c r="B4" s="27"/>
      <c r="C4" s="27"/>
      <c r="D4" s="27"/>
      <c r="E4" s="27"/>
      <c r="F4" s="27"/>
      <c r="G4" s="27"/>
      <c r="H4" s="27"/>
      <c r="I4" s="27"/>
      <c r="J4" s="33" t="s">
        <v>23</v>
      </c>
      <c r="K4" s="33" t="s">
        <v>16</v>
      </c>
      <c r="L4" s="9"/>
      <c r="M4" s="10"/>
    </row>
    <row r="5">
      <c r="A5" s="36" t="s">
        <v>26</v>
      </c>
      <c r="B5" s="40"/>
      <c r="C5" s="42" t="s">
        <v>31</v>
      </c>
      <c r="D5" s="43">
        <v>3.0</v>
      </c>
      <c r="E5" s="44"/>
      <c r="F5" s="44"/>
      <c r="G5" s="47">
        <f t="shared" ref="G5:G32" si="1">E5*F5</f>
        <v>0</v>
      </c>
      <c r="H5" s="50">
        <f t="shared" ref="H5:H33" si="2">D5+G5</f>
        <v>3</v>
      </c>
      <c r="I5" s="53">
        <f>SUM(H5:H13)</f>
        <v>57</v>
      </c>
      <c r="J5" s="43">
        <v>3.0</v>
      </c>
      <c r="K5" s="54"/>
      <c r="L5" s="9"/>
      <c r="M5" s="10"/>
    </row>
    <row r="6">
      <c r="A6" s="55"/>
      <c r="B6" s="55"/>
      <c r="C6" s="42" t="s">
        <v>42</v>
      </c>
      <c r="D6" s="43">
        <v>3.0</v>
      </c>
      <c r="E6" s="44"/>
      <c r="F6" s="44"/>
      <c r="G6" s="47">
        <f t="shared" si="1"/>
        <v>0</v>
      </c>
      <c r="H6" s="50">
        <f t="shared" si="2"/>
        <v>3</v>
      </c>
      <c r="I6" s="55"/>
      <c r="J6" s="43">
        <v>3.0</v>
      </c>
      <c r="K6" s="55"/>
      <c r="L6" s="9"/>
      <c r="M6" s="10"/>
    </row>
    <row r="7">
      <c r="A7" s="55"/>
      <c r="B7" s="55"/>
      <c r="C7" s="42" t="s">
        <v>44</v>
      </c>
      <c r="D7" s="43">
        <v>3.0</v>
      </c>
      <c r="E7" s="44"/>
      <c r="F7" s="44"/>
      <c r="G7" s="47">
        <f t="shared" si="1"/>
        <v>0</v>
      </c>
      <c r="H7" s="50">
        <f t="shared" si="2"/>
        <v>3</v>
      </c>
      <c r="I7" s="55"/>
      <c r="J7" s="43">
        <v>3.0</v>
      </c>
      <c r="K7" s="55"/>
      <c r="L7" s="9"/>
      <c r="M7" s="10"/>
    </row>
    <row r="8">
      <c r="A8" s="55"/>
      <c r="B8" s="55"/>
      <c r="C8" s="59" t="s">
        <v>48</v>
      </c>
      <c r="D8" s="43">
        <v>2.0</v>
      </c>
      <c r="E8" s="44"/>
      <c r="F8" s="44"/>
      <c r="G8" s="47">
        <f t="shared" si="1"/>
        <v>0</v>
      </c>
      <c r="H8" s="50">
        <f t="shared" si="2"/>
        <v>2</v>
      </c>
      <c r="I8" s="55"/>
      <c r="J8" s="43">
        <v>2.0</v>
      </c>
      <c r="K8" s="55"/>
      <c r="L8" s="9"/>
      <c r="M8" s="10"/>
    </row>
    <row r="9">
      <c r="A9" s="55"/>
      <c r="B9" s="55"/>
      <c r="C9" s="60" t="s">
        <v>49</v>
      </c>
      <c r="D9" s="61"/>
      <c r="E9" s="62">
        <v>2.0</v>
      </c>
      <c r="F9" s="62">
        <v>4.0</v>
      </c>
      <c r="G9" s="63">
        <f t="shared" si="1"/>
        <v>8</v>
      </c>
      <c r="H9" s="64">
        <f t="shared" si="2"/>
        <v>8</v>
      </c>
      <c r="I9" s="55"/>
      <c r="J9" s="43">
        <v>1.0</v>
      </c>
      <c r="K9" s="55"/>
      <c r="L9" s="9"/>
      <c r="M9" s="10"/>
    </row>
    <row r="10">
      <c r="A10" s="55"/>
      <c r="B10" s="55"/>
      <c r="C10" s="60" t="s">
        <v>50</v>
      </c>
      <c r="D10" s="61"/>
      <c r="E10" s="62">
        <v>2.0</v>
      </c>
      <c r="F10" s="62">
        <v>4.0</v>
      </c>
      <c r="G10" s="63">
        <f t="shared" si="1"/>
        <v>8</v>
      </c>
      <c r="H10" s="64">
        <f t="shared" si="2"/>
        <v>8</v>
      </c>
      <c r="I10" s="55"/>
      <c r="J10" s="43">
        <v>1.0</v>
      </c>
      <c r="K10" s="55"/>
      <c r="L10" s="9"/>
      <c r="M10" s="10"/>
    </row>
    <row r="11">
      <c r="A11" s="55"/>
      <c r="B11" s="55"/>
      <c r="C11" s="60" t="s">
        <v>62</v>
      </c>
      <c r="D11" s="62">
        <v>2.0</v>
      </c>
      <c r="E11" s="62">
        <v>2.0</v>
      </c>
      <c r="F11" s="62">
        <v>4.0</v>
      </c>
      <c r="G11" s="63">
        <f t="shared" si="1"/>
        <v>8</v>
      </c>
      <c r="H11" s="64">
        <f t="shared" si="2"/>
        <v>10</v>
      </c>
      <c r="I11" s="55"/>
      <c r="J11" s="43">
        <v>2.0</v>
      </c>
      <c r="K11" s="55"/>
      <c r="L11" s="9"/>
      <c r="M11" s="10"/>
    </row>
    <row r="12">
      <c r="A12" s="55"/>
      <c r="B12" s="55"/>
      <c r="C12" s="60" t="s">
        <v>67</v>
      </c>
      <c r="D12" s="62">
        <v>2.0</v>
      </c>
      <c r="E12" s="62">
        <v>2.0</v>
      </c>
      <c r="F12" s="62">
        <v>4.0</v>
      </c>
      <c r="G12" s="63">
        <f t="shared" si="1"/>
        <v>8</v>
      </c>
      <c r="H12" s="64">
        <f t="shared" si="2"/>
        <v>10</v>
      </c>
      <c r="I12" s="55"/>
      <c r="J12" s="43">
        <v>2.0</v>
      </c>
      <c r="K12" s="55"/>
      <c r="L12" s="9"/>
      <c r="M12" s="10"/>
    </row>
    <row r="13">
      <c r="A13" s="27"/>
      <c r="B13" s="27"/>
      <c r="C13" s="60" t="s">
        <v>68</v>
      </c>
      <c r="D13" s="62">
        <v>2.0</v>
      </c>
      <c r="E13" s="62">
        <v>2.0</v>
      </c>
      <c r="F13" s="62">
        <v>4.0</v>
      </c>
      <c r="G13" s="63">
        <f t="shared" si="1"/>
        <v>8</v>
      </c>
      <c r="H13" s="64">
        <f t="shared" si="2"/>
        <v>10</v>
      </c>
      <c r="I13" s="27"/>
      <c r="J13" s="43">
        <v>2.0</v>
      </c>
      <c r="K13" s="27"/>
      <c r="L13" s="9"/>
      <c r="M13" s="10"/>
    </row>
    <row r="14">
      <c r="A14" s="70" t="s">
        <v>75</v>
      </c>
      <c r="B14" s="40">
        <v>81.0</v>
      </c>
      <c r="C14" s="42" t="s">
        <v>79</v>
      </c>
      <c r="D14" s="47">
        <v>3.0</v>
      </c>
      <c r="E14" s="44"/>
      <c r="F14" s="44"/>
      <c r="G14" s="47">
        <f t="shared" si="1"/>
        <v>0</v>
      </c>
      <c r="H14" s="50">
        <f t="shared" si="2"/>
        <v>3</v>
      </c>
      <c r="I14" s="70">
        <f>SUM(H14:H22)</f>
        <v>46</v>
      </c>
      <c r="J14" s="47">
        <v>3.0</v>
      </c>
      <c r="K14" s="40">
        <f>sum(J14:J22)</f>
        <v>18</v>
      </c>
      <c r="L14" s="9"/>
      <c r="M14" s="10"/>
    </row>
    <row r="15">
      <c r="A15" s="55"/>
      <c r="B15" s="55"/>
      <c r="C15" s="42" t="s">
        <v>86</v>
      </c>
      <c r="D15" s="47">
        <v>3.0</v>
      </c>
      <c r="E15" s="44"/>
      <c r="F15" s="44"/>
      <c r="G15" s="47">
        <f t="shared" si="1"/>
        <v>0</v>
      </c>
      <c r="H15" s="50">
        <f t="shared" si="2"/>
        <v>3</v>
      </c>
      <c r="I15" s="55"/>
      <c r="J15" s="47">
        <v>3.0</v>
      </c>
      <c r="K15" s="55"/>
      <c r="L15" s="9"/>
      <c r="M15" s="10"/>
    </row>
    <row r="16">
      <c r="A16" s="55"/>
      <c r="B16" s="55"/>
      <c r="C16" s="42" t="s">
        <v>53</v>
      </c>
      <c r="D16" s="47">
        <v>3.0</v>
      </c>
      <c r="E16" s="44"/>
      <c r="F16" s="44"/>
      <c r="G16" s="47">
        <f t="shared" si="1"/>
        <v>0</v>
      </c>
      <c r="H16" s="50">
        <f t="shared" si="2"/>
        <v>3</v>
      </c>
      <c r="I16" s="55"/>
      <c r="J16" s="47">
        <v>3.0</v>
      </c>
      <c r="K16" s="55"/>
      <c r="L16" s="9"/>
      <c r="M16" s="10"/>
    </row>
    <row r="17">
      <c r="A17" s="55"/>
      <c r="B17" s="55"/>
      <c r="C17" s="42" t="s">
        <v>92</v>
      </c>
      <c r="D17" s="47">
        <v>3.0</v>
      </c>
      <c r="E17" s="44"/>
      <c r="F17" s="44"/>
      <c r="G17" s="47">
        <f t="shared" si="1"/>
        <v>0</v>
      </c>
      <c r="H17" s="50">
        <f t="shared" si="2"/>
        <v>3</v>
      </c>
      <c r="I17" s="55"/>
      <c r="J17" s="47">
        <v>3.0</v>
      </c>
      <c r="K17" s="55"/>
      <c r="L17" s="9"/>
      <c r="M17" s="10"/>
    </row>
    <row r="18">
      <c r="A18" s="55"/>
      <c r="B18" s="55"/>
      <c r="C18" s="60" t="s">
        <v>88</v>
      </c>
      <c r="D18" s="61"/>
      <c r="E18" s="63">
        <v>2.0</v>
      </c>
      <c r="F18" s="63">
        <v>4.0</v>
      </c>
      <c r="G18" s="63">
        <f t="shared" si="1"/>
        <v>8</v>
      </c>
      <c r="H18" s="64">
        <f t="shared" si="2"/>
        <v>8</v>
      </c>
      <c r="I18" s="55"/>
      <c r="J18" s="47">
        <v>1.0</v>
      </c>
      <c r="K18" s="55"/>
      <c r="L18" s="9"/>
      <c r="M18" s="10"/>
    </row>
    <row r="19">
      <c r="A19" s="55"/>
      <c r="B19" s="55"/>
      <c r="C19" s="60" t="s">
        <v>94</v>
      </c>
      <c r="D19" s="61"/>
      <c r="E19" s="63">
        <v>2.0</v>
      </c>
      <c r="F19" s="63">
        <v>4.0</v>
      </c>
      <c r="G19" s="63">
        <f t="shared" si="1"/>
        <v>8</v>
      </c>
      <c r="H19" s="64">
        <f t="shared" si="2"/>
        <v>8</v>
      </c>
      <c r="I19" s="55"/>
      <c r="J19" s="47">
        <v>1.0</v>
      </c>
      <c r="K19" s="55"/>
      <c r="L19" s="9"/>
      <c r="M19" s="10"/>
    </row>
    <row r="20">
      <c r="A20" s="55"/>
      <c r="B20" s="55"/>
      <c r="C20" s="60" t="s">
        <v>55</v>
      </c>
      <c r="D20" s="61"/>
      <c r="E20" s="63">
        <v>2.0</v>
      </c>
      <c r="F20" s="63">
        <v>4.0</v>
      </c>
      <c r="G20" s="63">
        <f t="shared" si="1"/>
        <v>8</v>
      </c>
      <c r="H20" s="64">
        <f t="shared" si="2"/>
        <v>8</v>
      </c>
      <c r="I20" s="55"/>
      <c r="J20" s="47">
        <v>1.0</v>
      </c>
      <c r="K20" s="55"/>
      <c r="L20" s="9"/>
      <c r="M20" s="10"/>
    </row>
    <row r="21">
      <c r="A21" s="55"/>
      <c r="B21" s="55"/>
      <c r="C21" s="60" t="s">
        <v>95</v>
      </c>
      <c r="D21" s="61"/>
      <c r="E21" s="63">
        <v>2.0</v>
      </c>
      <c r="F21" s="74">
        <v>4.0</v>
      </c>
      <c r="G21" s="63">
        <f t="shared" si="1"/>
        <v>8</v>
      </c>
      <c r="H21" s="64">
        <f t="shared" si="2"/>
        <v>8</v>
      </c>
      <c r="I21" s="55"/>
      <c r="J21" s="47">
        <v>1.0</v>
      </c>
      <c r="K21" s="55"/>
      <c r="L21" s="9"/>
      <c r="M21" s="10"/>
    </row>
    <row r="22">
      <c r="A22" s="27"/>
      <c r="B22" s="27"/>
      <c r="C22" s="59" t="s">
        <v>96</v>
      </c>
      <c r="D22" s="47">
        <v>2.0</v>
      </c>
      <c r="E22" s="44"/>
      <c r="F22" s="44"/>
      <c r="G22" s="47">
        <f t="shared" si="1"/>
        <v>0</v>
      </c>
      <c r="H22" s="50">
        <f t="shared" si="2"/>
        <v>2</v>
      </c>
      <c r="I22" s="27"/>
      <c r="J22" s="47">
        <v>2.0</v>
      </c>
      <c r="K22" s="27"/>
      <c r="L22" s="9"/>
      <c r="M22" s="10"/>
    </row>
    <row r="23">
      <c r="A23" s="70" t="s">
        <v>99</v>
      </c>
      <c r="B23" s="40">
        <v>69.0</v>
      </c>
      <c r="C23" s="42" t="s">
        <v>102</v>
      </c>
      <c r="D23" s="47">
        <v>3.0</v>
      </c>
      <c r="E23" s="44"/>
      <c r="F23" s="44"/>
      <c r="G23" s="47">
        <f t="shared" si="1"/>
        <v>0</v>
      </c>
      <c r="H23" s="50">
        <f t="shared" si="2"/>
        <v>3</v>
      </c>
      <c r="I23" s="70">
        <f>SUM(H23:H32)</f>
        <v>50</v>
      </c>
      <c r="J23" s="43">
        <v>3.0</v>
      </c>
      <c r="K23" s="54">
        <f>sum(J23:J32)</f>
        <v>22</v>
      </c>
      <c r="L23" s="9"/>
      <c r="M23" s="10"/>
    </row>
    <row r="24">
      <c r="A24" s="55"/>
      <c r="B24" s="55"/>
      <c r="C24" s="42" t="s">
        <v>111</v>
      </c>
      <c r="D24" s="47">
        <v>3.0</v>
      </c>
      <c r="E24" s="44"/>
      <c r="F24" s="44"/>
      <c r="G24" s="47">
        <f t="shared" si="1"/>
        <v>0</v>
      </c>
      <c r="H24" s="50">
        <f t="shared" si="2"/>
        <v>3</v>
      </c>
      <c r="I24" s="55"/>
      <c r="J24" s="43">
        <v>3.0</v>
      </c>
      <c r="K24" s="55"/>
      <c r="L24" s="9"/>
      <c r="M24" s="10"/>
    </row>
    <row r="25">
      <c r="A25" s="55"/>
      <c r="B25" s="55"/>
      <c r="C25" s="42" t="s">
        <v>112</v>
      </c>
      <c r="D25" s="47">
        <v>3.0</v>
      </c>
      <c r="E25" s="44"/>
      <c r="F25" s="44"/>
      <c r="G25" s="47">
        <f t="shared" si="1"/>
        <v>0</v>
      </c>
      <c r="H25" s="50">
        <f t="shared" si="2"/>
        <v>3</v>
      </c>
      <c r="I25" s="55"/>
      <c r="J25" s="43">
        <v>3.0</v>
      </c>
      <c r="K25" s="55"/>
      <c r="L25" s="9"/>
      <c r="M25" s="10"/>
    </row>
    <row r="26">
      <c r="A26" s="55"/>
      <c r="B26" s="55"/>
      <c r="C26" s="42" t="s">
        <v>115</v>
      </c>
      <c r="D26" s="47">
        <v>3.0</v>
      </c>
      <c r="E26" s="44"/>
      <c r="F26" s="44"/>
      <c r="G26" s="47">
        <f t="shared" si="1"/>
        <v>0</v>
      </c>
      <c r="H26" s="50">
        <f t="shared" si="2"/>
        <v>3</v>
      </c>
      <c r="I26" s="55"/>
      <c r="J26" s="43">
        <v>3.0</v>
      </c>
      <c r="K26" s="55"/>
      <c r="L26" s="9"/>
      <c r="M26" s="10"/>
    </row>
    <row r="27">
      <c r="A27" s="55"/>
      <c r="B27" s="55"/>
      <c r="C27" s="42" t="s">
        <v>116</v>
      </c>
      <c r="D27" s="47">
        <v>3.0</v>
      </c>
      <c r="E27" s="44"/>
      <c r="F27" s="44"/>
      <c r="G27" s="47">
        <f t="shared" si="1"/>
        <v>0</v>
      </c>
      <c r="H27" s="50">
        <f t="shared" si="2"/>
        <v>3</v>
      </c>
      <c r="I27" s="55"/>
      <c r="J27" s="43">
        <v>3.0</v>
      </c>
      <c r="K27" s="55"/>
      <c r="L27" s="9"/>
      <c r="M27" s="10"/>
    </row>
    <row r="28">
      <c r="A28" s="55"/>
      <c r="B28" s="55"/>
      <c r="C28" s="60" t="s">
        <v>37</v>
      </c>
      <c r="D28" s="61"/>
      <c r="E28" s="63">
        <v>2.0</v>
      </c>
      <c r="F28" s="63">
        <v>3.0</v>
      </c>
      <c r="G28" s="63">
        <f t="shared" si="1"/>
        <v>6</v>
      </c>
      <c r="H28" s="64">
        <f t="shared" si="2"/>
        <v>6</v>
      </c>
      <c r="I28" s="55"/>
      <c r="J28" s="43">
        <v>1.0</v>
      </c>
      <c r="K28" s="55"/>
      <c r="L28" s="9"/>
      <c r="M28" s="10"/>
    </row>
    <row r="29">
      <c r="A29" s="55"/>
      <c r="B29" s="55"/>
      <c r="C29" s="60" t="s">
        <v>117</v>
      </c>
      <c r="D29" s="61"/>
      <c r="E29" s="63">
        <v>2.0</v>
      </c>
      <c r="F29" s="63">
        <v>3.0</v>
      </c>
      <c r="G29" s="63">
        <f t="shared" si="1"/>
        <v>6</v>
      </c>
      <c r="H29" s="64">
        <f t="shared" si="2"/>
        <v>6</v>
      </c>
      <c r="I29" s="55"/>
      <c r="J29" s="43">
        <v>1.0</v>
      </c>
      <c r="K29" s="55"/>
      <c r="L29" s="9"/>
      <c r="M29" s="10"/>
    </row>
    <row r="30">
      <c r="A30" s="55"/>
      <c r="B30" s="55"/>
      <c r="C30" s="60" t="s">
        <v>118</v>
      </c>
      <c r="D30" s="61"/>
      <c r="E30" s="63">
        <v>2.0</v>
      </c>
      <c r="F30" s="63">
        <v>3.0</v>
      </c>
      <c r="G30" s="63">
        <f t="shared" si="1"/>
        <v>6</v>
      </c>
      <c r="H30" s="64">
        <f t="shared" si="2"/>
        <v>6</v>
      </c>
      <c r="I30" s="55"/>
      <c r="J30" s="43">
        <v>1.0</v>
      </c>
      <c r="K30" s="55"/>
      <c r="L30" s="9"/>
      <c r="M30" s="10"/>
    </row>
    <row r="31">
      <c r="A31" s="55"/>
      <c r="B31" s="55"/>
      <c r="C31" s="60" t="s">
        <v>119</v>
      </c>
      <c r="D31" s="61"/>
      <c r="E31" s="63">
        <v>2.0</v>
      </c>
      <c r="F31" s="63">
        <v>3.0</v>
      </c>
      <c r="G31" s="63">
        <f t="shared" si="1"/>
        <v>6</v>
      </c>
      <c r="H31" s="64">
        <f t="shared" si="2"/>
        <v>6</v>
      </c>
      <c r="I31" s="55"/>
      <c r="J31" s="43">
        <v>1.0</v>
      </c>
      <c r="K31" s="55"/>
      <c r="L31" s="9"/>
      <c r="M31" s="10"/>
    </row>
    <row r="32">
      <c r="A32" s="27"/>
      <c r="B32" s="27"/>
      <c r="C32" s="42" t="s">
        <v>120</v>
      </c>
      <c r="D32" s="44"/>
      <c r="E32" s="47">
        <v>0.5</v>
      </c>
      <c r="F32" s="80">
        <v>22.0</v>
      </c>
      <c r="G32" s="47">
        <f t="shared" si="1"/>
        <v>11</v>
      </c>
      <c r="H32" s="50">
        <f t="shared" si="2"/>
        <v>11</v>
      </c>
      <c r="I32" s="55"/>
      <c r="J32" s="43">
        <v>3.0</v>
      </c>
      <c r="K32" s="27"/>
      <c r="L32" s="9"/>
      <c r="M32" s="10"/>
    </row>
    <row r="33">
      <c r="A33" s="82" t="s">
        <v>121</v>
      </c>
      <c r="B33" s="83"/>
      <c r="C33" s="85"/>
      <c r="D33" s="88">
        <f>SUM(D5:D32)</f>
        <v>46</v>
      </c>
      <c r="E33" s="89"/>
      <c r="F33" s="85"/>
      <c r="G33" s="88">
        <f>SUM(G5:G32)</f>
        <v>107</v>
      </c>
      <c r="H33" s="90">
        <f t="shared" si="2"/>
        <v>153</v>
      </c>
      <c r="I33" s="91">
        <f>SUM(I5:I32)</f>
        <v>153</v>
      </c>
      <c r="J33" s="92">
        <f>sum(J5:J32)</f>
        <v>59</v>
      </c>
      <c r="K33" s="15"/>
      <c r="L33" s="9"/>
      <c r="M33" s="10"/>
    </row>
    <row r="34">
      <c r="A34" s="93" t="s">
        <v>123</v>
      </c>
      <c r="B34" s="14"/>
      <c r="C34" s="14"/>
      <c r="D34" s="14"/>
      <c r="E34" s="14"/>
      <c r="F34" s="14"/>
      <c r="G34" s="14"/>
      <c r="H34" s="14"/>
      <c r="I34" s="15"/>
      <c r="J34" s="2"/>
      <c r="K34" s="2"/>
      <c r="L34" s="9"/>
      <c r="M34" s="10"/>
    </row>
    <row r="35">
      <c r="A35" s="70" t="s">
        <v>99</v>
      </c>
      <c r="B35" s="54">
        <v>41.0</v>
      </c>
      <c r="C35" s="42" t="s">
        <v>124</v>
      </c>
      <c r="D35" s="47">
        <v>4.0</v>
      </c>
      <c r="E35" s="44"/>
      <c r="F35" s="44"/>
      <c r="G35" s="44"/>
      <c r="H35" s="33">
        <f t="shared" ref="H35:H36" si="3">D35+G35</f>
        <v>4</v>
      </c>
      <c r="I35" s="70">
        <f>sum(H35:H37)</f>
        <v>10</v>
      </c>
      <c r="J35" s="2"/>
      <c r="K35" s="2"/>
      <c r="L35" s="9"/>
      <c r="M35" s="10"/>
    </row>
    <row r="36">
      <c r="A36" s="27"/>
      <c r="B36" s="27"/>
      <c r="C36" s="60" t="s">
        <v>125</v>
      </c>
      <c r="D36" s="61"/>
      <c r="E36" s="63">
        <v>4.0</v>
      </c>
      <c r="F36" s="62">
        <v>1.0</v>
      </c>
      <c r="G36" s="63">
        <f>E36*F36</f>
        <v>4</v>
      </c>
      <c r="H36" s="94">
        <f t="shared" si="3"/>
        <v>4</v>
      </c>
      <c r="I36" s="55"/>
      <c r="J36" s="2"/>
      <c r="K36" s="2"/>
      <c r="L36" s="9"/>
      <c r="M36" s="10"/>
    </row>
    <row r="37">
      <c r="A37" s="70"/>
      <c r="B37" s="54"/>
      <c r="C37" s="95" t="s">
        <v>32</v>
      </c>
      <c r="D37" s="96"/>
      <c r="E37" s="40"/>
      <c r="F37" s="54"/>
      <c r="G37" s="40"/>
      <c r="H37" s="97">
        <v>2.0</v>
      </c>
      <c r="I37" s="55"/>
      <c r="J37" s="2"/>
      <c r="K37" s="2"/>
      <c r="L37" s="9"/>
      <c r="M37" s="10"/>
    </row>
    <row r="38">
      <c r="A38" s="82" t="s">
        <v>121</v>
      </c>
      <c r="B38" s="83"/>
      <c r="C38" s="85"/>
      <c r="D38" s="40">
        <f>SUM(D35:D36)</f>
        <v>4</v>
      </c>
      <c r="E38" s="89"/>
      <c r="F38" s="85"/>
      <c r="G38" s="40">
        <f>SUM(G35:G36)</f>
        <v>4</v>
      </c>
      <c r="H38" s="98">
        <f>SUM(H35:H37)</f>
        <v>10</v>
      </c>
      <c r="I38" s="27"/>
      <c r="J38" s="2"/>
      <c r="K38" s="2"/>
      <c r="L38" s="9"/>
      <c r="M38" s="10"/>
    </row>
    <row r="39">
      <c r="A39" s="93" t="s">
        <v>126</v>
      </c>
      <c r="B39" s="14"/>
      <c r="C39" s="14"/>
      <c r="D39" s="14"/>
      <c r="E39" s="14"/>
      <c r="F39" s="14"/>
      <c r="G39" s="14"/>
      <c r="H39" s="14"/>
      <c r="I39" s="15"/>
      <c r="J39" s="2"/>
      <c r="K39" s="2"/>
      <c r="L39" s="9"/>
      <c r="M39" s="10"/>
    </row>
    <row r="40">
      <c r="A40" s="99"/>
      <c r="B40" s="100"/>
      <c r="C40" s="59"/>
      <c r="D40" s="101"/>
      <c r="E40" s="101"/>
      <c r="F40" s="101"/>
      <c r="G40" s="102"/>
      <c r="H40" s="103"/>
      <c r="I40" s="26"/>
      <c r="J40" s="2"/>
      <c r="K40" s="2"/>
      <c r="L40" s="104"/>
    </row>
    <row r="41">
      <c r="A41" s="105" t="s">
        <v>75</v>
      </c>
      <c r="B41" s="106"/>
      <c r="C41" s="107" t="s">
        <v>127</v>
      </c>
      <c r="D41" s="108">
        <v>3.0</v>
      </c>
      <c r="E41" s="109">
        <v>2.0</v>
      </c>
      <c r="F41" s="109">
        <v>2.0</v>
      </c>
      <c r="G41" s="110">
        <f>E41*F41</f>
        <v>4</v>
      </c>
      <c r="H41" s="111">
        <f>D41+G41</f>
        <v>7</v>
      </c>
      <c r="I41" s="112">
        <f>sum(H41:H43)</f>
        <v>18</v>
      </c>
      <c r="J41" s="2" t="s">
        <v>128</v>
      </c>
      <c r="K41" s="2"/>
      <c r="L41" s="104" t="s">
        <v>129</v>
      </c>
    </row>
    <row r="42">
      <c r="A42" s="105" t="s">
        <v>75</v>
      </c>
      <c r="B42" s="106"/>
      <c r="C42" s="107" t="s">
        <v>130</v>
      </c>
      <c r="D42" s="63">
        <v>3.0</v>
      </c>
      <c r="E42" s="63">
        <v>2.0</v>
      </c>
      <c r="F42" s="63">
        <v>4.0</v>
      </c>
      <c r="G42" s="63">
        <v>8.0</v>
      </c>
      <c r="H42" s="63">
        <v>11.0</v>
      </c>
      <c r="I42" s="55"/>
      <c r="J42" s="2"/>
      <c r="K42" s="2"/>
      <c r="L42" s="9"/>
      <c r="M42" s="10"/>
    </row>
    <row r="43">
      <c r="A43" s="113"/>
      <c r="B43" s="44"/>
      <c r="C43" s="114"/>
      <c r="D43" s="47"/>
      <c r="E43" s="47"/>
      <c r="F43" s="47"/>
      <c r="G43" s="115"/>
      <c r="H43" s="116"/>
      <c r="I43" s="55"/>
      <c r="J43" s="2"/>
      <c r="K43" s="2"/>
      <c r="L43" s="9"/>
      <c r="M43" s="10"/>
    </row>
    <row r="44">
      <c r="A44" s="117" t="s">
        <v>121</v>
      </c>
      <c r="B44" s="118"/>
      <c r="C44" s="119"/>
      <c r="D44" s="97">
        <v>6.0</v>
      </c>
      <c r="E44" s="120"/>
      <c r="F44" s="119"/>
      <c r="G44" s="97">
        <v>12.0</v>
      </c>
      <c r="H44" s="98">
        <f>sum(H41+H42)</f>
        <v>18</v>
      </c>
      <c r="I44" s="55"/>
      <c r="J44" s="2"/>
      <c r="K44" s="2"/>
      <c r="L44" s="9"/>
      <c r="M44" s="10"/>
    </row>
    <row r="45">
      <c r="A45" s="93" t="s">
        <v>131</v>
      </c>
      <c r="B45" s="14"/>
      <c r="C45" s="14"/>
      <c r="D45" s="14"/>
      <c r="E45" s="14"/>
      <c r="F45" s="14"/>
      <c r="G45" s="14"/>
      <c r="H45" s="14"/>
      <c r="I45" s="15"/>
      <c r="J45" s="2"/>
      <c r="K45" s="2"/>
      <c r="L45" s="9"/>
      <c r="M45" s="10"/>
    </row>
    <row r="46">
      <c r="A46" s="121" t="s">
        <v>26</v>
      </c>
      <c r="B46" s="47" t="s">
        <v>132</v>
      </c>
      <c r="C46" s="60" t="s">
        <v>133</v>
      </c>
      <c r="D46" s="62">
        <v>2.0</v>
      </c>
      <c r="E46" s="62">
        <v>1.0</v>
      </c>
      <c r="F46" s="63">
        <v>4.0</v>
      </c>
      <c r="G46" s="63">
        <f t="shared" ref="G46:G48" si="4">E46*F46</f>
        <v>4</v>
      </c>
      <c r="H46" s="94">
        <f t="shared" ref="H46:H48" si="5">D46+G46</f>
        <v>6</v>
      </c>
      <c r="I46" s="70">
        <f>SUM(H46:H47)</f>
        <v>10</v>
      </c>
      <c r="J46" s="2"/>
      <c r="K46" s="2"/>
      <c r="L46" s="9"/>
      <c r="M46" s="10"/>
    </row>
    <row r="47">
      <c r="A47" s="121" t="s">
        <v>75</v>
      </c>
      <c r="B47" s="47" t="s">
        <v>132</v>
      </c>
      <c r="C47" s="42" t="s">
        <v>134</v>
      </c>
      <c r="D47" s="47">
        <v>4.0</v>
      </c>
      <c r="E47" s="44"/>
      <c r="F47" s="44"/>
      <c r="G47" s="47">
        <f t="shared" si="4"/>
        <v>0</v>
      </c>
      <c r="H47" s="33">
        <f t="shared" si="5"/>
        <v>4</v>
      </c>
      <c r="I47" s="27"/>
      <c r="J47" s="2"/>
      <c r="K47" s="2"/>
      <c r="L47" s="9"/>
      <c r="M47" s="10"/>
    </row>
    <row r="48">
      <c r="A48" s="121" t="s">
        <v>75</v>
      </c>
      <c r="B48" s="47" t="s">
        <v>132</v>
      </c>
      <c r="C48" s="60" t="s">
        <v>135</v>
      </c>
      <c r="D48" s="63">
        <v>2.0</v>
      </c>
      <c r="E48" s="63">
        <v>2.0</v>
      </c>
      <c r="F48" s="63">
        <v>4.0</v>
      </c>
      <c r="G48" s="63">
        <f t="shared" si="4"/>
        <v>8</v>
      </c>
      <c r="H48" s="94">
        <f t="shared" si="5"/>
        <v>10</v>
      </c>
      <c r="I48" s="70">
        <f>SUM(H48:H49)</f>
        <v>10</v>
      </c>
      <c r="J48" s="2"/>
      <c r="K48" s="2"/>
      <c r="L48" s="9"/>
      <c r="M48" s="10"/>
    </row>
    <row r="49">
      <c r="A49" s="113"/>
      <c r="B49" s="44"/>
      <c r="C49" s="114"/>
      <c r="D49" s="44"/>
      <c r="E49" s="44"/>
      <c r="F49" s="44"/>
      <c r="G49" s="44"/>
      <c r="H49" s="44"/>
      <c r="I49" s="27"/>
      <c r="J49" s="2"/>
      <c r="K49" s="2"/>
      <c r="L49" s="9"/>
      <c r="M49" s="10"/>
    </row>
    <row r="50">
      <c r="A50" s="122" t="s">
        <v>121</v>
      </c>
      <c r="B50" s="14"/>
      <c r="C50" s="15"/>
      <c r="D50" s="33">
        <f>SUM(D46:D49)</f>
        <v>8</v>
      </c>
      <c r="E50" s="123"/>
      <c r="F50" s="15"/>
      <c r="G50" s="33">
        <f t="shared" ref="G50:I50" si="6">SUM(G46:G49)</f>
        <v>12</v>
      </c>
      <c r="H50" s="33">
        <f t="shared" si="6"/>
        <v>20</v>
      </c>
      <c r="I50" s="121">
        <f t="shared" si="6"/>
        <v>20</v>
      </c>
      <c r="J50" s="2"/>
      <c r="K50" s="2"/>
      <c r="L50" s="9"/>
      <c r="M50" s="10"/>
    </row>
    <row r="51">
      <c r="A51" s="124" t="s">
        <v>136</v>
      </c>
      <c r="B51" s="125"/>
      <c r="C51" s="125"/>
      <c r="D51" s="125"/>
      <c r="E51" s="125"/>
      <c r="F51" s="125"/>
      <c r="G51" s="125"/>
      <c r="H51" s="125"/>
      <c r="I51" s="125"/>
      <c r="J51" s="2"/>
      <c r="K51" s="2"/>
      <c r="L51" s="9"/>
      <c r="M51" s="10"/>
    </row>
    <row r="52">
      <c r="A52" s="113"/>
      <c r="B52" s="44"/>
      <c r="C52" s="114"/>
      <c r="D52" s="33" t="s">
        <v>11</v>
      </c>
      <c r="E52" s="44"/>
      <c r="F52" s="44"/>
      <c r="G52" s="33" t="s">
        <v>137</v>
      </c>
      <c r="H52" s="33" t="s">
        <v>138</v>
      </c>
      <c r="I52" s="126"/>
      <c r="J52" s="2"/>
      <c r="K52" s="2"/>
      <c r="L52" s="9"/>
      <c r="M52" s="10"/>
    </row>
    <row r="53">
      <c r="A53" s="122" t="s">
        <v>121</v>
      </c>
      <c r="B53" s="14"/>
      <c r="C53" s="15"/>
      <c r="D53" s="33">
        <f>D33+D38+D44-D50</f>
        <v>48</v>
      </c>
      <c r="E53" s="123"/>
      <c r="F53" s="15"/>
      <c r="G53" s="33">
        <f>G33+G38+G44-G50</f>
        <v>111</v>
      </c>
      <c r="H53" s="33">
        <f>I33+I35+I41</f>
        <v>181</v>
      </c>
      <c r="I53" s="126"/>
      <c r="J53" s="2"/>
      <c r="K53" s="2"/>
      <c r="L53" s="9"/>
      <c r="M53" s="10"/>
    </row>
    <row r="54">
      <c r="A54" s="1"/>
      <c r="B54" s="8"/>
      <c r="C54" s="127"/>
      <c r="D54" s="8"/>
      <c r="E54" s="8"/>
      <c r="F54" s="8"/>
      <c r="G54" s="8"/>
      <c r="H54" s="8"/>
      <c r="I54" s="7"/>
      <c r="J54" s="8"/>
      <c r="K54" s="8"/>
      <c r="L54" s="9"/>
      <c r="M54" s="10"/>
    </row>
    <row r="55">
      <c r="A55" s="1"/>
      <c r="B55" s="8"/>
      <c r="C55" s="128" t="s">
        <v>139</v>
      </c>
      <c r="D55" s="8"/>
      <c r="E55" s="8"/>
      <c r="F55" s="8"/>
      <c r="G55" s="8"/>
      <c r="H55" s="8"/>
      <c r="I55" s="7"/>
      <c r="J55" s="8"/>
      <c r="K55" s="8"/>
      <c r="L55" s="9"/>
      <c r="M55" s="10"/>
    </row>
    <row r="56">
      <c r="A56" s="1"/>
      <c r="B56" s="8"/>
      <c r="C56" s="127"/>
      <c r="D56" s="129" t="s">
        <v>140</v>
      </c>
      <c r="E56" s="15"/>
      <c r="F56" s="130" t="s">
        <v>141</v>
      </c>
      <c r="G56" s="129" t="s">
        <v>142</v>
      </c>
      <c r="H56" s="15"/>
      <c r="I56" s="131" t="s">
        <v>16</v>
      </c>
      <c r="J56" s="8"/>
      <c r="K56" s="8"/>
      <c r="L56" s="9"/>
      <c r="M56" s="10"/>
    </row>
    <row r="57">
      <c r="A57" s="1"/>
      <c r="B57" s="8"/>
      <c r="C57" s="132" t="s">
        <v>143</v>
      </c>
      <c r="D57" s="129">
        <v>1.0</v>
      </c>
      <c r="E57" s="15"/>
      <c r="F57" s="130">
        <v>1.0</v>
      </c>
      <c r="G57" s="129">
        <v>10.0</v>
      </c>
      <c r="H57" s="15"/>
      <c r="I57" s="131">
        <f>sum(D57:H57)</f>
        <v>12</v>
      </c>
      <c r="J57" s="8"/>
      <c r="K57" s="8"/>
      <c r="L57" s="9"/>
      <c r="M57" s="10"/>
    </row>
    <row r="58">
      <c r="A58" s="1"/>
      <c r="B58" s="8"/>
      <c r="C58" s="132" t="s">
        <v>144</v>
      </c>
      <c r="D58" s="129">
        <v>8.0</v>
      </c>
      <c r="E58" s="15"/>
      <c r="F58" s="130">
        <v>14.0</v>
      </c>
      <c r="G58" s="129">
        <v>18.0</v>
      </c>
      <c r="H58" s="15"/>
      <c r="I58" s="7"/>
      <c r="J58" s="8"/>
      <c r="K58" s="8"/>
      <c r="L58" s="9"/>
      <c r="M58" s="10"/>
    </row>
    <row r="59">
      <c r="A59" s="1"/>
      <c r="B59" s="8"/>
      <c r="C59" s="132" t="s">
        <v>121</v>
      </c>
      <c r="D59" s="129">
        <f>D57*D58</f>
        <v>8</v>
      </c>
      <c r="E59" s="15"/>
      <c r="F59" s="130">
        <f t="shared" ref="F59:G59" si="7">F57*F58</f>
        <v>14</v>
      </c>
      <c r="G59" s="129">
        <f t="shared" si="7"/>
        <v>180</v>
      </c>
      <c r="H59" s="15"/>
      <c r="I59" s="7"/>
      <c r="J59" s="8"/>
      <c r="K59" s="8"/>
      <c r="L59" s="9"/>
      <c r="M59" s="10"/>
    </row>
    <row r="60">
      <c r="A60" s="1"/>
      <c r="B60" s="8"/>
      <c r="C60" s="132" t="s">
        <v>145</v>
      </c>
      <c r="D60" s="133">
        <f>sum(D59:H59)</f>
        <v>202</v>
      </c>
      <c r="E60" s="14"/>
      <c r="F60" s="14"/>
      <c r="G60" s="14"/>
      <c r="H60" s="15"/>
      <c r="I60" s="7"/>
      <c r="J60" s="8"/>
      <c r="K60" s="8"/>
      <c r="L60" s="9"/>
      <c r="M60" s="10"/>
    </row>
    <row r="61">
      <c r="A61" s="134"/>
      <c r="C61" s="9"/>
      <c r="I61" s="135"/>
      <c r="L61" s="9"/>
      <c r="M61" s="10"/>
    </row>
    <row r="62">
      <c r="A62" s="134"/>
      <c r="C62" s="9"/>
      <c r="I62" s="135"/>
      <c r="L62" s="9"/>
      <c r="M62" s="10"/>
    </row>
    <row r="63">
      <c r="A63" s="134"/>
      <c r="C63" s="9"/>
      <c r="I63" s="135"/>
      <c r="L63" s="9"/>
      <c r="M63" s="10"/>
    </row>
    <row r="64">
      <c r="A64" s="134"/>
      <c r="C64" s="9"/>
      <c r="I64" s="135"/>
      <c r="L64" s="9"/>
      <c r="M64" s="10"/>
    </row>
    <row r="65">
      <c r="A65" s="134"/>
      <c r="C65" s="9"/>
      <c r="I65" s="135"/>
      <c r="L65" s="9"/>
      <c r="M65" s="10"/>
    </row>
    <row r="66">
      <c r="A66" s="134"/>
      <c r="C66" s="9"/>
      <c r="I66" s="135"/>
      <c r="L66" s="9"/>
      <c r="M66" s="10"/>
    </row>
    <row r="67">
      <c r="A67" s="134"/>
      <c r="C67" s="9"/>
      <c r="I67" s="135"/>
      <c r="L67" s="9"/>
      <c r="M67" s="10"/>
    </row>
    <row r="68">
      <c r="A68" s="134"/>
      <c r="C68" s="9"/>
      <c r="I68" s="135"/>
      <c r="L68" s="9"/>
      <c r="M68" s="10"/>
    </row>
    <row r="69">
      <c r="A69" s="134"/>
      <c r="C69" s="9"/>
      <c r="I69" s="135"/>
      <c r="L69" s="9"/>
      <c r="M69" s="10"/>
    </row>
    <row r="70">
      <c r="A70" s="134"/>
      <c r="C70" s="9"/>
      <c r="I70" s="135"/>
      <c r="L70" s="9"/>
      <c r="M70" s="10"/>
    </row>
    <row r="71">
      <c r="A71" s="134"/>
      <c r="C71" s="9"/>
      <c r="I71" s="135"/>
      <c r="L71" s="9"/>
      <c r="M71" s="10"/>
    </row>
    <row r="72">
      <c r="A72" s="134"/>
      <c r="C72" s="9"/>
      <c r="I72" s="135"/>
      <c r="L72" s="9"/>
      <c r="M72" s="10"/>
    </row>
    <row r="73">
      <c r="A73" s="134"/>
      <c r="C73" s="9"/>
      <c r="I73" s="135"/>
      <c r="L73" s="9"/>
      <c r="M73" s="10"/>
    </row>
    <row r="74">
      <c r="A74" s="134"/>
      <c r="C74" s="9"/>
      <c r="I74" s="135"/>
      <c r="L74" s="9"/>
      <c r="M74" s="10"/>
    </row>
    <row r="75">
      <c r="A75" s="134"/>
      <c r="C75" s="9"/>
      <c r="I75" s="135"/>
      <c r="L75" s="9"/>
      <c r="M75" s="10"/>
    </row>
    <row r="76">
      <c r="A76" s="134"/>
      <c r="C76" s="9"/>
      <c r="I76" s="135"/>
      <c r="L76" s="9"/>
      <c r="M76" s="10"/>
    </row>
    <row r="77">
      <c r="A77" s="134"/>
      <c r="C77" s="9"/>
      <c r="I77" s="135"/>
      <c r="L77" s="9"/>
      <c r="M77" s="10"/>
    </row>
    <row r="78">
      <c r="A78" s="134"/>
      <c r="C78" s="9"/>
      <c r="I78" s="135"/>
      <c r="L78" s="9"/>
      <c r="M78" s="10"/>
    </row>
    <row r="79">
      <c r="A79" s="134"/>
      <c r="C79" s="9"/>
      <c r="I79" s="135"/>
      <c r="L79" s="9"/>
      <c r="M79" s="10"/>
    </row>
    <row r="80">
      <c r="A80" s="134"/>
      <c r="C80" s="9"/>
      <c r="I80" s="135"/>
      <c r="L80" s="9"/>
      <c r="M80" s="10"/>
    </row>
    <row r="81">
      <c r="A81" s="134"/>
      <c r="C81" s="9"/>
      <c r="I81" s="135"/>
      <c r="L81" s="9"/>
      <c r="M81" s="10"/>
    </row>
    <row r="82">
      <c r="A82" s="134"/>
      <c r="C82" s="9"/>
      <c r="I82" s="135"/>
      <c r="L82" s="9"/>
      <c r="M82" s="10"/>
    </row>
    <row r="83">
      <c r="A83" s="134"/>
      <c r="C83" s="9"/>
      <c r="I83" s="135"/>
      <c r="L83" s="9"/>
      <c r="M83" s="10"/>
    </row>
    <row r="84">
      <c r="A84" s="134"/>
      <c r="C84" s="9"/>
      <c r="I84" s="135"/>
      <c r="L84" s="9"/>
      <c r="M84" s="10"/>
    </row>
    <row r="85">
      <c r="A85" s="134"/>
      <c r="C85" s="9"/>
      <c r="I85" s="135"/>
      <c r="L85" s="9"/>
      <c r="M85" s="10"/>
    </row>
    <row r="86">
      <c r="A86" s="134"/>
      <c r="C86" s="9"/>
      <c r="I86" s="135"/>
      <c r="L86" s="9"/>
      <c r="M86" s="10"/>
    </row>
    <row r="87">
      <c r="A87" s="134"/>
      <c r="C87" s="9"/>
      <c r="I87" s="135"/>
      <c r="L87" s="9"/>
      <c r="M87" s="10"/>
    </row>
    <row r="88">
      <c r="A88" s="134"/>
      <c r="C88" s="9"/>
      <c r="I88" s="135"/>
      <c r="L88" s="9"/>
      <c r="M88" s="10"/>
    </row>
    <row r="89">
      <c r="A89" s="134"/>
      <c r="C89" s="9"/>
      <c r="I89" s="135"/>
      <c r="L89" s="9"/>
      <c r="M89" s="10"/>
    </row>
    <row r="90">
      <c r="A90" s="134"/>
      <c r="C90" s="9"/>
      <c r="I90" s="135"/>
      <c r="L90" s="9"/>
      <c r="M90" s="10"/>
    </row>
    <row r="91">
      <c r="A91" s="134"/>
      <c r="C91" s="9"/>
      <c r="I91" s="135"/>
      <c r="L91" s="9"/>
      <c r="M91" s="10"/>
    </row>
    <row r="92">
      <c r="A92" s="134"/>
      <c r="C92" s="9"/>
      <c r="I92" s="135"/>
      <c r="L92" s="9"/>
      <c r="M92" s="10"/>
    </row>
    <row r="93">
      <c r="A93" s="134"/>
      <c r="C93" s="9"/>
      <c r="I93" s="135"/>
      <c r="L93" s="9"/>
      <c r="M93" s="10"/>
    </row>
    <row r="94">
      <c r="A94" s="134"/>
      <c r="C94" s="9"/>
      <c r="I94" s="135"/>
      <c r="L94" s="9"/>
      <c r="M94" s="10"/>
    </row>
    <row r="95">
      <c r="A95" s="134"/>
      <c r="C95" s="9"/>
      <c r="I95" s="135"/>
      <c r="L95" s="9"/>
      <c r="M95" s="10"/>
    </row>
    <row r="96">
      <c r="A96" s="134"/>
      <c r="C96" s="9"/>
      <c r="I96" s="135"/>
      <c r="L96" s="9"/>
      <c r="M96" s="10"/>
    </row>
    <row r="97">
      <c r="A97" s="134"/>
      <c r="C97" s="9"/>
      <c r="I97" s="135"/>
      <c r="L97" s="9"/>
      <c r="M97" s="10"/>
    </row>
    <row r="98">
      <c r="A98" s="134"/>
      <c r="C98" s="9"/>
      <c r="I98" s="135"/>
      <c r="L98" s="9"/>
      <c r="M98" s="10"/>
    </row>
    <row r="99">
      <c r="A99" s="134"/>
      <c r="C99" s="9"/>
      <c r="I99" s="135"/>
      <c r="L99" s="9"/>
      <c r="M99" s="10"/>
    </row>
    <row r="100">
      <c r="A100" s="134"/>
      <c r="C100" s="9"/>
      <c r="I100" s="135"/>
      <c r="L100" s="9"/>
      <c r="M100" s="10"/>
    </row>
    <row r="101">
      <c r="A101" s="134"/>
      <c r="C101" s="9"/>
      <c r="I101" s="135"/>
      <c r="L101" s="9"/>
      <c r="M101" s="10"/>
    </row>
    <row r="102">
      <c r="A102" s="134"/>
      <c r="C102" s="9"/>
      <c r="I102" s="135"/>
      <c r="L102" s="9"/>
      <c r="M102" s="10"/>
    </row>
    <row r="103">
      <c r="A103" s="134"/>
      <c r="C103" s="9"/>
      <c r="I103" s="135"/>
      <c r="L103" s="9"/>
      <c r="M103" s="10"/>
    </row>
    <row r="104">
      <c r="A104" s="134"/>
      <c r="C104" s="9"/>
      <c r="I104" s="135"/>
      <c r="L104" s="9"/>
      <c r="M104" s="10"/>
    </row>
    <row r="105">
      <c r="A105" s="134"/>
      <c r="C105" s="9"/>
      <c r="I105" s="135"/>
      <c r="L105" s="9"/>
      <c r="M105" s="10"/>
    </row>
    <row r="106">
      <c r="A106" s="134"/>
      <c r="C106" s="9"/>
      <c r="I106" s="135"/>
      <c r="L106" s="9"/>
      <c r="M106" s="10"/>
    </row>
    <row r="107">
      <c r="A107" s="134"/>
      <c r="C107" s="9"/>
      <c r="I107" s="135"/>
      <c r="L107" s="9"/>
      <c r="M107" s="10"/>
    </row>
    <row r="108">
      <c r="A108" s="134"/>
      <c r="C108" s="9"/>
      <c r="I108" s="135"/>
      <c r="L108" s="9"/>
      <c r="M108" s="10"/>
    </row>
    <row r="109">
      <c r="A109" s="134"/>
      <c r="C109" s="9"/>
      <c r="I109" s="135"/>
      <c r="L109" s="9"/>
      <c r="M109" s="10"/>
    </row>
    <row r="110">
      <c r="A110" s="134"/>
      <c r="C110" s="9"/>
      <c r="I110" s="135"/>
      <c r="L110" s="9"/>
      <c r="M110" s="10"/>
    </row>
    <row r="111">
      <c r="A111" s="134"/>
      <c r="C111" s="9"/>
      <c r="I111" s="135"/>
      <c r="L111" s="9"/>
      <c r="M111" s="10"/>
    </row>
    <row r="112">
      <c r="A112" s="134"/>
      <c r="C112" s="9"/>
      <c r="I112" s="135"/>
      <c r="L112" s="9"/>
      <c r="M112" s="10"/>
    </row>
    <row r="113">
      <c r="A113" s="134"/>
      <c r="C113" s="9"/>
      <c r="I113" s="135"/>
      <c r="L113" s="9"/>
      <c r="M113" s="10"/>
    </row>
    <row r="114">
      <c r="A114" s="134"/>
      <c r="C114" s="9"/>
      <c r="I114" s="135"/>
      <c r="L114" s="9"/>
      <c r="M114" s="10"/>
    </row>
    <row r="115">
      <c r="A115" s="134"/>
      <c r="C115" s="9"/>
      <c r="I115" s="135"/>
      <c r="L115" s="9"/>
      <c r="M115" s="10"/>
    </row>
    <row r="116">
      <c r="A116" s="134"/>
      <c r="C116" s="9"/>
      <c r="I116" s="135"/>
      <c r="L116" s="9"/>
      <c r="M116" s="10"/>
    </row>
    <row r="117">
      <c r="A117" s="134"/>
      <c r="C117" s="9"/>
      <c r="I117" s="135"/>
      <c r="L117" s="9"/>
      <c r="M117" s="10"/>
    </row>
    <row r="118">
      <c r="A118" s="134"/>
      <c r="C118" s="9"/>
      <c r="I118" s="135"/>
      <c r="L118" s="9"/>
      <c r="M118" s="10"/>
    </row>
    <row r="119">
      <c r="A119" s="134"/>
      <c r="C119" s="9"/>
      <c r="I119" s="135"/>
      <c r="L119" s="9"/>
      <c r="M119" s="10"/>
    </row>
    <row r="120">
      <c r="A120" s="134"/>
      <c r="C120" s="9"/>
      <c r="I120" s="135"/>
      <c r="L120" s="9"/>
      <c r="M120" s="10"/>
    </row>
    <row r="121">
      <c r="A121" s="134"/>
      <c r="C121" s="9"/>
      <c r="I121" s="135"/>
      <c r="L121" s="9"/>
      <c r="M121" s="10"/>
    </row>
    <row r="122">
      <c r="A122" s="134"/>
      <c r="C122" s="9"/>
      <c r="I122" s="135"/>
      <c r="L122" s="9"/>
      <c r="M122" s="10"/>
    </row>
    <row r="123">
      <c r="A123" s="134"/>
      <c r="C123" s="9"/>
      <c r="I123" s="135"/>
      <c r="L123" s="9"/>
      <c r="M123" s="10"/>
    </row>
    <row r="124">
      <c r="A124" s="134"/>
      <c r="C124" s="9"/>
      <c r="I124" s="135"/>
      <c r="L124" s="9"/>
      <c r="M124" s="10"/>
    </row>
    <row r="125">
      <c r="A125" s="134"/>
      <c r="C125" s="9"/>
      <c r="I125" s="135"/>
      <c r="L125" s="9"/>
      <c r="M125" s="10"/>
    </row>
    <row r="126">
      <c r="A126" s="134"/>
      <c r="C126" s="9"/>
      <c r="I126" s="135"/>
      <c r="L126" s="9"/>
      <c r="M126" s="10"/>
    </row>
    <row r="127">
      <c r="A127" s="134"/>
      <c r="C127" s="9"/>
      <c r="I127" s="135"/>
      <c r="L127" s="9"/>
      <c r="M127" s="10"/>
    </row>
    <row r="128">
      <c r="A128" s="134"/>
      <c r="C128" s="9"/>
      <c r="I128" s="135"/>
      <c r="L128" s="9"/>
      <c r="M128" s="10"/>
    </row>
    <row r="129">
      <c r="A129" s="134"/>
      <c r="C129" s="9"/>
      <c r="I129" s="135"/>
      <c r="L129" s="9"/>
      <c r="M129" s="10"/>
    </row>
    <row r="130">
      <c r="A130" s="134"/>
      <c r="C130" s="9"/>
      <c r="I130" s="135"/>
      <c r="L130" s="9"/>
      <c r="M130" s="10"/>
    </row>
    <row r="131">
      <c r="A131" s="134"/>
      <c r="C131" s="9"/>
      <c r="I131" s="135"/>
      <c r="L131" s="9"/>
      <c r="M131" s="10"/>
    </row>
    <row r="132">
      <c r="A132" s="134"/>
      <c r="C132" s="9"/>
      <c r="I132" s="135"/>
      <c r="L132" s="9"/>
      <c r="M132" s="10"/>
    </row>
    <row r="133">
      <c r="A133" s="134"/>
      <c r="C133" s="9"/>
      <c r="I133" s="135"/>
      <c r="L133" s="9"/>
      <c r="M133" s="10"/>
    </row>
    <row r="134">
      <c r="A134" s="134"/>
      <c r="C134" s="9"/>
      <c r="I134" s="135"/>
      <c r="L134" s="9"/>
      <c r="M134" s="10"/>
    </row>
    <row r="135">
      <c r="A135" s="134"/>
      <c r="C135" s="9"/>
      <c r="I135" s="135"/>
      <c r="L135" s="9"/>
      <c r="M135" s="10"/>
    </row>
    <row r="136">
      <c r="A136" s="134"/>
      <c r="C136" s="9"/>
      <c r="I136" s="135"/>
      <c r="L136" s="9"/>
      <c r="M136" s="10"/>
    </row>
    <row r="137">
      <c r="A137" s="134"/>
      <c r="C137" s="9"/>
      <c r="I137" s="135"/>
      <c r="L137" s="9"/>
      <c r="M137" s="10"/>
    </row>
    <row r="138">
      <c r="A138" s="134"/>
      <c r="C138" s="9"/>
      <c r="I138" s="135"/>
      <c r="L138" s="9"/>
      <c r="M138" s="10"/>
    </row>
    <row r="139">
      <c r="A139" s="134"/>
      <c r="C139" s="9"/>
      <c r="I139" s="135"/>
      <c r="L139" s="9"/>
      <c r="M139" s="10"/>
    </row>
    <row r="140">
      <c r="A140" s="134"/>
      <c r="C140" s="9"/>
      <c r="I140" s="135"/>
      <c r="L140" s="9"/>
      <c r="M140" s="10"/>
    </row>
    <row r="141">
      <c r="A141" s="134"/>
      <c r="C141" s="9"/>
      <c r="I141" s="135"/>
      <c r="L141" s="9"/>
      <c r="M141" s="10"/>
    </row>
    <row r="142">
      <c r="A142" s="134"/>
      <c r="C142" s="9"/>
      <c r="I142" s="135"/>
      <c r="L142" s="9"/>
      <c r="M142" s="10"/>
    </row>
    <row r="143">
      <c r="A143" s="134"/>
      <c r="C143" s="9"/>
      <c r="I143" s="135"/>
      <c r="L143" s="9"/>
      <c r="M143" s="10"/>
    </row>
    <row r="144">
      <c r="A144" s="134"/>
      <c r="C144" s="9"/>
      <c r="I144" s="135"/>
      <c r="L144" s="9"/>
      <c r="M144" s="10"/>
    </row>
    <row r="145">
      <c r="A145" s="134"/>
      <c r="C145" s="9"/>
      <c r="I145" s="135"/>
      <c r="L145" s="9"/>
      <c r="M145" s="10"/>
    </row>
    <row r="146">
      <c r="A146" s="134"/>
      <c r="C146" s="9"/>
      <c r="I146" s="135"/>
      <c r="L146" s="9"/>
      <c r="M146" s="10"/>
    </row>
    <row r="147">
      <c r="A147" s="134"/>
      <c r="C147" s="9"/>
      <c r="I147" s="135"/>
      <c r="L147" s="9"/>
      <c r="M147" s="10"/>
    </row>
    <row r="148">
      <c r="A148" s="134"/>
      <c r="C148" s="9"/>
      <c r="I148" s="135"/>
      <c r="L148" s="9"/>
      <c r="M148" s="10"/>
    </row>
    <row r="149">
      <c r="A149" s="134"/>
      <c r="C149" s="9"/>
      <c r="I149" s="135"/>
      <c r="L149" s="9"/>
      <c r="M149" s="10"/>
    </row>
    <row r="150">
      <c r="A150" s="134"/>
      <c r="C150" s="9"/>
      <c r="I150" s="135"/>
      <c r="L150" s="9"/>
      <c r="M150" s="10"/>
    </row>
    <row r="151">
      <c r="A151" s="134"/>
      <c r="C151" s="9"/>
      <c r="I151" s="135"/>
      <c r="L151" s="9"/>
      <c r="M151" s="10"/>
    </row>
    <row r="152">
      <c r="A152" s="134"/>
      <c r="C152" s="9"/>
      <c r="I152" s="135"/>
      <c r="L152" s="9"/>
      <c r="M152" s="10"/>
    </row>
    <row r="153">
      <c r="A153" s="134"/>
      <c r="C153" s="9"/>
      <c r="I153" s="135"/>
      <c r="L153" s="9"/>
      <c r="M153" s="10"/>
    </row>
    <row r="154">
      <c r="A154" s="134"/>
      <c r="C154" s="9"/>
      <c r="I154" s="135"/>
      <c r="L154" s="9"/>
      <c r="M154" s="10"/>
    </row>
    <row r="155">
      <c r="A155" s="134"/>
      <c r="C155" s="9"/>
      <c r="I155" s="135"/>
      <c r="L155" s="9"/>
      <c r="M155" s="10"/>
    </row>
    <row r="156">
      <c r="A156" s="134"/>
      <c r="C156" s="9"/>
      <c r="I156" s="135"/>
      <c r="L156" s="9"/>
      <c r="M156" s="10"/>
    </row>
    <row r="157">
      <c r="A157" s="134"/>
      <c r="C157" s="9"/>
      <c r="I157" s="135"/>
      <c r="L157" s="9"/>
      <c r="M157" s="10"/>
    </row>
    <row r="158">
      <c r="A158" s="134"/>
      <c r="C158" s="9"/>
      <c r="I158" s="135"/>
      <c r="L158" s="9"/>
      <c r="M158" s="10"/>
    </row>
    <row r="159">
      <c r="A159" s="134"/>
      <c r="C159" s="9"/>
      <c r="I159" s="135"/>
      <c r="L159" s="9"/>
      <c r="M159" s="10"/>
    </row>
    <row r="160">
      <c r="A160" s="134"/>
      <c r="C160" s="9"/>
      <c r="I160" s="135"/>
      <c r="L160" s="9"/>
      <c r="M160" s="10"/>
    </row>
    <row r="161">
      <c r="A161" s="134"/>
      <c r="C161" s="9"/>
      <c r="I161" s="135"/>
      <c r="L161" s="9"/>
      <c r="M161" s="10"/>
    </row>
    <row r="162">
      <c r="A162" s="134"/>
      <c r="C162" s="9"/>
      <c r="I162" s="135"/>
      <c r="L162" s="9"/>
      <c r="M162" s="10"/>
    </row>
    <row r="163">
      <c r="A163" s="134"/>
      <c r="C163" s="9"/>
      <c r="I163" s="135"/>
      <c r="L163" s="9"/>
      <c r="M163" s="10"/>
    </row>
    <row r="164">
      <c r="A164" s="134"/>
      <c r="C164" s="9"/>
      <c r="I164" s="135"/>
      <c r="L164" s="9"/>
      <c r="M164" s="10"/>
    </row>
    <row r="165">
      <c r="A165" s="134"/>
      <c r="C165" s="9"/>
      <c r="I165" s="135"/>
      <c r="L165" s="9"/>
      <c r="M165" s="10"/>
    </row>
    <row r="166">
      <c r="A166" s="134"/>
      <c r="C166" s="9"/>
      <c r="I166" s="135"/>
      <c r="L166" s="9"/>
      <c r="M166" s="10"/>
    </row>
    <row r="167">
      <c r="A167" s="134"/>
      <c r="C167" s="9"/>
      <c r="I167" s="135"/>
      <c r="L167" s="9"/>
      <c r="M167" s="10"/>
    </row>
    <row r="168">
      <c r="A168" s="134"/>
      <c r="C168" s="9"/>
      <c r="I168" s="135"/>
      <c r="L168" s="9"/>
      <c r="M168" s="10"/>
    </row>
    <row r="169">
      <c r="A169" s="134"/>
      <c r="C169" s="9"/>
      <c r="I169" s="135"/>
      <c r="L169" s="9"/>
      <c r="M169" s="10"/>
    </row>
    <row r="170">
      <c r="A170" s="134"/>
      <c r="C170" s="9"/>
      <c r="I170" s="135"/>
      <c r="L170" s="9"/>
      <c r="M170" s="10"/>
    </row>
    <row r="171">
      <c r="A171" s="134"/>
      <c r="C171" s="9"/>
      <c r="I171" s="135"/>
      <c r="L171" s="9"/>
      <c r="M171" s="10"/>
    </row>
    <row r="172">
      <c r="A172" s="134"/>
      <c r="C172" s="9"/>
      <c r="I172" s="135"/>
      <c r="L172" s="9"/>
      <c r="M172" s="10"/>
    </row>
    <row r="173">
      <c r="A173" s="134"/>
      <c r="C173" s="9"/>
      <c r="I173" s="135"/>
      <c r="L173" s="9"/>
      <c r="M173" s="10"/>
    </row>
    <row r="174">
      <c r="A174" s="134"/>
      <c r="C174" s="9"/>
      <c r="I174" s="135"/>
      <c r="L174" s="9"/>
      <c r="M174" s="10"/>
    </row>
    <row r="175">
      <c r="A175" s="134"/>
      <c r="C175" s="9"/>
      <c r="I175" s="135"/>
      <c r="L175" s="9"/>
      <c r="M175" s="10"/>
    </row>
    <row r="176">
      <c r="A176" s="134"/>
      <c r="C176" s="9"/>
      <c r="I176" s="135"/>
      <c r="L176" s="9"/>
      <c r="M176" s="10"/>
    </row>
    <row r="177">
      <c r="A177" s="134"/>
      <c r="C177" s="9"/>
      <c r="I177" s="135"/>
      <c r="L177" s="9"/>
      <c r="M177" s="10"/>
    </row>
    <row r="178">
      <c r="A178" s="134"/>
      <c r="C178" s="9"/>
      <c r="I178" s="135"/>
      <c r="L178" s="9"/>
      <c r="M178" s="10"/>
    </row>
    <row r="179">
      <c r="A179" s="134"/>
      <c r="C179" s="9"/>
      <c r="I179" s="135"/>
      <c r="L179" s="9"/>
      <c r="M179" s="10"/>
    </row>
    <row r="180">
      <c r="A180" s="134"/>
      <c r="C180" s="9"/>
      <c r="I180" s="135"/>
      <c r="L180" s="9"/>
      <c r="M180" s="10"/>
    </row>
    <row r="181">
      <c r="A181" s="134"/>
      <c r="C181" s="9"/>
      <c r="I181" s="135"/>
      <c r="L181" s="9"/>
      <c r="M181" s="10"/>
    </row>
    <row r="182">
      <c r="A182" s="134"/>
      <c r="C182" s="9"/>
      <c r="I182" s="135"/>
      <c r="L182" s="9"/>
      <c r="M182" s="10"/>
    </row>
    <row r="183">
      <c r="A183" s="134"/>
      <c r="C183" s="9"/>
      <c r="I183" s="135"/>
      <c r="L183" s="9"/>
      <c r="M183" s="10"/>
    </row>
    <row r="184">
      <c r="A184" s="134"/>
      <c r="C184" s="9"/>
      <c r="I184" s="135"/>
      <c r="L184" s="9"/>
      <c r="M184" s="10"/>
    </row>
    <row r="185">
      <c r="A185" s="134"/>
      <c r="C185" s="9"/>
      <c r="I185" s="135"/>
      <c r="L185" s="9"/>
      <c r="M185" s="10"/>
    </row>
    <row r="186">
      <c r="A186" s="134"/>
      <c r="C186" s="9"/>
      <c r="I186" s="135"/>
      <c r="L186" s="9"/>
      <c r="M186" s="10"/>
    </row>
    <row r="187">
      <c r="A187" s="134"/>
      <c r="C187" s="9"/>
      <c r="I187" s="135"/>
      <c r="L187" s="9"/>
      <c r="M187" s="10"/>
    </row>
    <row r="188">
      <c r="A188" s="134"/>
      <c r="C188" s="9"/>
      <c r="I188" s="135"/>
      <c r="L188" s="9"/>
      <c r="M188" s="10"/>
    </row>
    <row r="189">
      <c r="A189" s="134"/>
      <c r="C189" s="9"/>
      <c r="I189" s="135"/>
      <c r="L189" s="9"/>
      <c r="M189" s="10"/>
    </row>
    <row r="190">
      <c r="A190" s="134"/>
      <c r="C190" s="9"/>
      <c r="I190" s="135"/>
      <c r="L190" s="9"/>
      <c r="M190" s="10"/>
    </row>
    <row r="191">
      <c r="A191" s="134"/>
      <c r="C191" s="9"/>
      <c r="I191" s="135"/>
      <c r="L191" s="9"/>
      <c r="M191" s="10"/>
    </row>
    <row r="192">
      <c r="A192" s="134"/>
      <c r="C192" s="9"/>
      <c r="I192" s="135"/>
      <c r="L192" s="9"/>
      <c r="M192" s="10"/>
    </row>
    <row r="193">
      <c r="A193" s="134"/>
      <c r="C193" s="9"/>
      <c r="I193" s="135"/>
      <c r="L193" s="9"/>
      <c r="M193" s="10"/>
    </row>
    <row r="194">
      <c r="A194" s="134"/>
      <c r="C194" s="9"/>
      <c r="I194" s="135"/>
      <c r="L194" s="9"/>
      <c r="M194" s="10"/>
    </row>
    <row r="195">
      <c r="A195" s="134"/>
      <c r="C195" s="9"/>
      <c r="I195" s="135"/>
      <c r="L195" s="9"/>
      <c r="M195" s="10"/>
    </row>
    <row r="196">
      <c r="A196" s="134"/>
      <c r="C196" s="9"/>
      <c r="I196" s="135"/>
      <c r="L196" s="9"/>
      <c r="M196" s="10"/>
    </row>
    <row r="197">
      <c r="A197" s="134"/>
      <c r="C197" s="9"/>
      <c r="I197" s="135"/>
      <c r="L197" s="9"/>
      <c r="M197" s="10"/>
    </row>
    <row r="198">
      <c r="A198" s="134"/>
      <c r="C198" s="9"/>
      <c r="I198" s="135"/>
      <c r="L198" s="9"/>
      <c r="M198" s="10"/>
    </row>
    <row r="199">
      <c r="A199" s="134"/>
      <c r="C199" s="9"/>
      <c r="I199" s="135"/>
      <c r="L199" s="9"/>
      <c r="M199" s="10"/>
    </row>
    <row r="200">
      <c r="A200" s="134"/>
      <c r="C200" s="9"/>
      <c r="I200" s="135"/>
      <c r="L200" s="9"/>
      <c r="M200" s="10"/>
    </row>
    <row r="201">
      <c r="A201" s="134"/>
      <c r="C201" s="9"/>
      <c r="I201" s="135"/>
      <c r="L201" s="9"/>
      <c r="M201" s="10"/>
    </row>
    <row r="202">
      <c r="A202" s="134"/>
      <c r="C202" s="9"/>
      <c r="I202" s="135"/>
      <c r="L202" s="9"/>
      <c r="M202" s="10"/>
    </row>
    <row r="203">
      <c r="A203" s="134"/>
      <c r="C203" s="9"/>
      <c r="I203" s="135"/>
      <c r="L203" s="9"/>
      <c r="M203" s="10"/>
    </row>
    <row r="204">
      <c r="A204" s="134"/>
      <c r="C204" s="9"/>
      <c r="I204" s="135"/>
      <c r="L204" s="9"/>
      <c r="M204" s="10"/>
    </row>
    <row r="205">
      <c r="A205" s="134"/>
      <c r="C205" s="9"/>
      <c r="I205" s="135"/>
      <c r="L205" s="9"/>
      <c r="M205" s="10"/>
    </row>
    <row r="206">
      <c r="A206" s="134"/>
      <c r="C206" s="9"/>
      <c r="I206" s="135"/>
      <c r="L206" s="9"/>
      <c r="M206" s="10"/>
    </row>
    <row r="207">
      <c r="A207" s="134"/>
      <c r="C207" s="9"/>
      <c r="I207" s="135"/>
      <c r="L207" s="9"/>
      <c r="M207" s="10"/>
    </row>
    <row r="208">
      <c r="A208" s="134"/>
      <c r="C208" s="9"/>
      <c r="I208" s="135"/>
      <c r="L208" s="9"/>
      <c r="M208" s="10"/>
    </row>
    <row r="209">
      <c r="A209" s="134"/>
      <c r="C209" s="9"/>
      <c r="I209" s="135"/>
      <c r="L209" s="9"/>
      <c r="M209" s="10"/>
    </row>
    <row r="210">
      <c r="A210" s="134"/>
      <c r="C210" s="9"/>
      <c r="I210" s="135"/>
      <c r="L210" s="9"/>
      <c r="M210" s="10"/>
    </row>
    <row r="211">
      <c r="A211" s="134"/>
      <c r="C211" s="9"/>
      <c r="I211" s="135"/>
      <c r="L211" s="9"/>
      <c r="M211" s="10"/>
    </row>
    <row r="212">
      <c r="A212" s="134"/>
      <c r="C212" s="9"/>
      <c r="I212" s="135"/>
      <c r="L212" s="9"/>
      <c r="M212" s="10"/>
    </row>
    <row r="213">
      <c r="A213" s="134"/>
      <c r="C213" s="9"/>
      <c r="I213" s="135"/>
      <c r="L213" s="9"/>
      <c r="M213" s="10"/>
    </row>
    <row r="214">
      <c r="A214" s="134"/>
      <c r="C214" s="9"/>
      <c r="I214" s="135"/>
      <c r="L214" s="9"/>
      <c r="M214" s="10"/>
    </row>
    <row r="215">
      <c r="A215" s="134"/>
      <c r="C215" s="9"/>
      <c r="I215" s="135"/>
      <c r="L215" s="9"/>
      <c r="M215" s="10"/>
    </row>
    <row r="216">
      <c r="A216" s="134"/>
      <c r="C216" s="9"/>
      <c r="I216" s="135"/>
      <c r="L216" s="9"/>
      <c r="M216" s="10"/>
    </row>
    <row r="217">
      <c r="A217" s="134"/>
      <c r="C217" s="9"/>
      <c r="I217" s="135"/>
      <c r="L217" s="9"/>
      <c r="M217" s="10"/>
    </row>
    <row r="218">
      <c r="A218" s="134"/>
      <c r="C218" s="9"/>
      <c r="I218" s="135"/>
      <c r="L218" s="9"/>
      <c r="M218" s="10"/>
    </row>
    <row r="219">
      <c r="A219" s="134"/>
      <c r="C219" s="9"/>
      <c r="I219" s="135"/>
      <c r="L219" s="9"/>
      <c r="M219" s="10"/>
    </row>
    <row r="220">
      <c r="A220" s="134"/>
      <c r="C220" s="9"/>
      <c r="I220" s="135"/>
      <c r="L220" s="9"/>
      <c r="M220" s="10"/>
    </row>
    <row r="221">
      <c r="A221" s="134"/>
      <c r="C221" s="9"/>
      <c r="I221" s="135"/>
      <c r="L221" s="9"/>
      <c r="M221" s="10"/>
    </row>
    <row r="222">
      <c r="A222" s="134"/>
      <c r="C222" s="9"/>
      <c r="I222" s="135"/>
      <c r="L222" s="9"/>
      <c r="M222" s="10"/>
    </row>
    <row r="223">
      <c r="A223" s="134"/>
      <c r="C223" s="9"/>
      <c r="I223" s="135"/>
      <c r="L223" s="9"/>
      <c r="M223" s="10"/>
    </row>
    <row r="224">
      <c r="A224" s="134"/>
      <c r="C224" s="9"/>
      <c r="I224" s="135"/>
      <c r="L224" s="9"/>
      <c r="M224" s="10"/>
    </row>
    <row r="225">
      <c r="A225" s="134"/>
      <c r="C225" s="9"/>
      <c r="I225" s="135"/>
      <c r="L225" s="9"/>
      <c r="M225" s="10"/>
    </row>
    <row r="226">
      <c r="A226" s="134"/>
      <c r="C226" s="9"/>
      <c r="I226" s="135"/>
      <c r="L226" s="9"/>
      <c r="M226" s="10"/>
    </row>
    <row r="227">
      <c r="A227" s="134"/>
      <c r="C227" s="9"/>
      <c r="I227" s="135"/>
      <c r="L227" s="9"/>
      <c r="M227" s="10"/>
    </row>
    <row r="228">
      <c r="A228" s="134"/>
      <c r="C228" s="9"/>
      <c r="I228" s="135"/>
      <c r="L228" s="9"/>
      <c r="M228" s="10"/>
    </row>
    <row r="229">
      <c r="A229" s="134"/>
      <c r="C229" s="9"/>
      <c r="I229" s="135"/>
      <c r="L229" s="9"/>
      <c r="M229" s="10"/>
    </row>
    <row r="230">
      <c r="A230" s="134"/>
      <c r="C230" s="9"/>
      <c r="I230" s="135"/>
      <c r="L230" s="9"/>
      <c r="M230" s="10"/>
    </row>
    <row r="231">
      <c r="A231" s="134"/>
      <c r="C231" s="9"/>
      <c r="I231" s="135"/>
      <c r="L231" s="9"/>
      <c r="M231" s="10"/>
    </row>
    <row r="232">
      <c r="A232" s="134"/>
      <c r="C232" s="9"/>
      <c r="I232" s="135"/>
      <c r="L232" s="9"/>
      <c r="M232" s="10"/>
    </row>
    <row r="233">
      <c r="A233" s="134"/>
      <c r="C233" s="9"/>
      <c r="I233" s="135"/>
      <c r="L233" s="9"/>
      <c r="M233" s="10"/>
    </row>
    <row r="234">
      <c r="A234" s="134"/>
      <c r="C234" s="9"/>
      <c r="I234" s="135"/>
      <c r="L234" s="9"/>
      <c r="M234" s="10"/>
    </row>
    <row r="235">
      <c r="A235" s="134"/>
      <c r="C235" s="9"/>
      <c r="I235" s="135"/>
      <c r="L235" s="9"/>
      <c r="M235" s="10"/>
    </row>
    <row r="236">
      <c r="A236" s="134"/>
      <c r="C236" s="9"/>
      <c r="I236" s="135"/>
      <c r="L236" s="9"/>
      <c r="M236" s="10"/>
    </row>
    <row r="237">
      <c r="A237" s="134"/>
      <c r="C237" s="9"/>
      <c r="I237" s="135"/>
      <c r="L237" s="9"/>
      <c r="M237" s="10"/>
    </row>
    <row r="238">
      <c r="A238" s="134"/>
      <c r="C238" s="9"/>
      <c r="I238" s="135"/>
      <c r="L238" s="9"/>
      <c r="M238" s="10"/>
    </row>
    <row r="239">
      <c r="A239" s="134"/>
      <c r="C239" s="9"/>
      <c r="I239" s="135"/>
      <c r="L239" s="9"/>
      <c r="M239" s="10"/>
    </row>
    <row r="240">
      <c r="A240" s="134"/>
      <c r="C240" s="9"/>
      <c r="I240" s="135"/>
      <c r="L240" s="9"/>
      <c r="M240" s="10"/>
    </row>
    <row r="241">
      <c r="A241" s="134"/>
      <c r="C241" s="9"/>
      <c r="I241" s="135"/>
      <c r="L241" s="9"/>
      <c r="M241" s="10"/>
    </row>
    <row r="242">
      <c r="A242" s="134"/>
      <c r="C242" s="9"/>
      <c r="I242" s="135"/>
      <c r="L242" s="9"/>
      <c r="M242" s="10"/>
    </row>
    <row r="243">
      <c r="A243" s="134"/>
      <c r="C243" s="9"/>
      <c r="I243" s="135"/>
      <c r="L243" s="9"/>
      <c r="M243" s="10"/>
    </row>
    <row r="244">
      <c r="A244" s="134"/>
      <c r="C244" s="9"/>
      <c r="I244" s="135"/>
      <c r="L244" s="9"/>
      <c r="M244" s="10"/>
    </row>
    <row r="245">
      <c r="A245" s="134"/>
      <c r="C245" s="9"/>
      <c r="I245" s="135"/>
      <c r="L245" s="9"/>
      <c r="M245" s="10"/>
    </row>
    <row r="246">
      <c r="A246" s="134"/>
      <c r="C246" s="9"/>
      <c r="I246" s="135"/>
      <c r="L246" s="9"/>
      <c r="M246" s="10"/>
    </row>
    <row r="247">
      <c r="A247" s="134"/>
      <c r="C247" s="9"/>
      <c r="I247" s="135"/>
      <c r="L247" s="9"/>
      <c r="M247" s="10"/>
    </row>
    <row r="248">
      <c r="A248" s="134"/>
      <c r="C248" s="9"/>
      <c r="I248" s="135"/>
      <c r="L248" s="9"/>
      <c r="M248" s="10"/>
    </row>
    <row r="249">
      <c r="A249" s="134"/>
      <c r="C249" s="9"/>
      <c r="I249" s="135"/>
      <c r="L249" s="9"/>
      <c r="M249" s="10"/>
    </row>
    <row r="250">
      <c r="A250" s="134"/>
      <c r="C250" s="9"/>
      <c r="I250" s="135"/>
      <c r="L250" s="9"/>
      <c r="M250" s="10"/>
    </row>
    <row r="251">
      <c r="A251" s="134"/>
      <c r="C251" s="9"/>
      <c r="I251" s="135"/>
      <c r="L251" s="9"/>
      <c r="M251" s="10"/>
    </row>
    <row r="252">
      <c r="A252" s="134"/>
      <c r="C252" s="9"/>
      <c r="I252" s="135"/>
      <c r="L252" s="9"/>
      <c r="M252" s="10"/>
    </row>
    <row r="253">
      <c r="A253" s="134"/>
      <c r="C253" s="9"/>
      <c r="I253" s="135"/>
      <c r="L253" s="9"/>
      <c r="M253" s="10"/>
    </row>
    <row r="254">
      <c r="A254" s="134"/>
      <c r="C254" s="9"/>
      <c r="I254" s="135"/>
      <c r="L254" s="9"/>
      <c r="M254" s="10"/>
    </row>
    <row r="255">
      <c r="A255" s="134"/>
      <c r="C255" s="9"/>
      <c r="I255" s="135"/>
      <c r="L255" s="9"/>
      <c r="M255" s="10"/>
    </row>
    <row r="256">
      <c r="A256" s="134"/>
      <c r="C256" s="9"/>
      <c r="I256" s="135"/>
      <c r="L256" s="9"/>
      <c r="M256" s="10"/>
    </row>
    <row r="257">
      <c r="A257" s="134"/>
      <c r="C257" s="9"/>
      <c r="I257" s="135"/>
      <c r="L257" s="9"/>
      <c r="M257" s="10"/>
    </row>
    <row r="258">
      <c r="A258" s="134"/>
      <c r="C258" s="9"/>
      <c r="I258" s="135"/>
      <c r="L258" s="9"/>
      <c r="M258" s="10"/>
    </row>
    <row r="259">
      <c r="A259" s="134"/>
      <c r="C259" s="9"/>
      <c r="I259" s="135"/>
      <c r="L259" s="9"/>
      <c r="M259" s="10"/>
    </row>
    <row r="260">
      <c r="A260" s="134"/>
      <c r="C260" s="9"/>
      <c r="I260" s="135"/>
      <c r="L260" s="9"/>
      <c r="M260" s="10"/>
    </row>
    <row r="261">
      <c r="A261" s="134"/>
      <c r="C261" s="9"/>
      <c r="I261" s="135"/>
      <c r="L261" s="9"/>
      <c r="M261" s="10"/>
    </row>
    <row r="262">
      <c r="A262" s="134"/>
      <c r="C262" s="9"/>
      <c r="I262" s="135"/>
      <c r="L262" s="9"/>
      <c r="M262" s="10"/>
    </row>
    <row r="263">
      <c r="A263" s="134"/>
      <c r="C263" s="9"/>
      <c r="I263" s="135"/>
      <c r="L263" s="9"/>
      <c r="M263" s="10"/>
    </row>
    <row r="264">
      <c r="A264" s="134"/>
      <c r="C264" s="9"/>
      <c r="I264" s="135"/>
      <c r="L264" s="9"/>
      <c r="M264" s="10"/>
    </row>
    <row r="265">
      <c r="A265" s="134"/>
      <c r="C265" s="9"/>
      <c r="I265" s="135"/>
      <c r="L265" s="9"/>
      <c r="M265" s="10"/>
    </row>
    <row r="266">
      <c r="A266" s="134"/>
      <c r="C266" s="9"/>
      <c r="I266" s="135"/>
      <c r="L266" s="9"/>
      <c r="M266" s="10"/>
    </row>
    <row r="267">
      <c r="A267" s="134"/>
      <c r="C267" s="9"/>
      <c r="I267" s="135"/>
      <c r="L267" s="9"/>
      <c r="M267" s="10"/>
    </row>
    <row r="268">
      <c r="A268" s="134"/>
      <c r="C268" s="9"/>
      <c r="I268" s="135"/>
      <c r="L268" s="9"/>
      <c r="M268" s="10"/>
    </row>
    <row r="269">
      <c r="A269" s="134"/>
      <c r="C269" s="9"/>
      <c r="I269" s="135"/>
      <c r="L269" s="9"/>
      <c r="M269" s="10"/>
    </row>
    <row r="270">
      <c r="A270" s="134"/>
      <c r="C270" s="9"/>
      <c r="I270" s="135"/>
      <c r="L270" s="9"/>
      <c r="M270" s="10"/>
    </row>
    <row r="271">
      <c r="A271" s="134"/>
      <c r="C271" s="9"/>
      <c r="I271" s="135"/>
      <c r="L271" s="9"/>
      <c r="M271" s="10"/>
    </row>
    <row r="272">
      <c r="A272" s="134"/>
      <c r="C272" s="9"/>
      <c r="I272" s="135"/>
      <c r="L272" s="9"/>
      <c r="M272" s="10"/>
    </row>
    <row r="273">
      <c r="A273" s="134"/>
      <c r="C273" s="9"/>
      <c r="I273" s="135"/>
      <c r="L273" s="9"/>
      <c r="M273" s="10"/>
    </row>
    <row r="274">
      <c r="A274" s="134"/>
      <c r="C274" s="9"/>
      <c r="I274" s="135"/>
      <c r="L274" s="9"/>
      <c r="M274" s="10"/>
    </row>
    <row r="275">
      <c r="A275" s="134"/>
      <c r="C275" s="9"/>
      <c r="I275" s="135"/>
      <c r="L275" s="9"/>
      <c r="M275" s="10"/>
    </row>
    <row r="276">
      <c r="A276" s="134"/>
      <c r="C276" s="9"/>
      <c r="I276" s="135"/>
      <c r="L276" s="9"/>
      <c r="M276" s="10"/>
    </row>
    <row r="277">
      <c r="A277" s="134"/>
      <c r="C277" s="9"/>
      <c r="I277" s="135"/>
      <c r="L277" s="9"/>
      <c r="M277" s="10"/>
    </row>
    <row r="278">
      <c r="A278" s="134"/>
      <c r="C278" s="9"/>
      <c r="I278" s="135"/>
      <c r="L278" s="9"/>
      <c r="M278" s="10"/>
    </row>
    <row r="279">
      <c r="A279" s="134"/>
      <c r="C279" s="9"/>
      <c r="I279" s="135"/>
      <c r="L279" s="9"/>
      <c r="M279" s="10"/>
    </row>
    <row r="280">
      <c r="A280" s="134"/>
      <c r="C280" s="9"/>
      <c r="I280" s="135"/>
      <c r="L280" s="9"/>
      <c r="M280" s="10"/>
    </row>
    <row r="281">
      <c r="A281" s="134"/>
      <c r="C281" s="9"/>
      <c r="I281" s="135"/>
      <c r="L281" s="9"/>
      <c r="M281" s="10"/>
    </row>
    <row r="282">
      <c r="A282" s="134"/>
      <c r="C282" s="9"/>
      <c r="I282" s="135"/>
      <c r="L282" s="9"/>
      <c r="M282" s="10"/>
    </row>
    <row r="283">
      <c r="A283" s="134"/>
      <c r="C283" s="9"/>
      <c r="I283" s="135"/>
      <c r="L283" s="9"/>
      <c r="M283" s="10"/>
    </row>
    <row r="284">
      <c r="A284" s="134"/>
      <c r="C284" s="9"/>
      <c r="I284" s="135"/>
      <c r="L284" s="9"/>
      <c r="M284" s="10"/>
    </row>
    <row r="285">
      <c r="A285" s="134"/>
      <c r="C285" s="9"/>
      <c r="I285" s="135"/>
      <c r="L285" s="9"/>
      <c r="M285" s="10"/>
    </row>
    <row r="286">
      <c r="A286" s="134"/>
      <c r="C286" s="9"/>
      <c r="I286" s="135"/>
      <c r="L286" s="9"/>
      <c r="M286" s="10"/>
    </row>
    <row r="287">
      <c r="A287" s="134"/>
      <c r="C287" s="9"/>
      <c r="I287" s="135"/>
      <c r="L287" s="9"/>
      <c r="M287" s="10"/>
    </row>
    <row r="288">
      <c r="A288" s="134"/>
      <c r="C288" s="9"/>
      <c r="I288" s="135"/>
      <c r="L288" s="9"/>
      <c r="M288" s="10"/>
    </row>
    <row r="289">
      <c r="A289" s="134"/>
      <c r="C289" s="9"/>
      <c r="I289" s="135"/>
      <c r="L289" s="9"/>
      <c r="M289" s="10"/>
    </row>
    <row r="290">
      <c r="A290" s="134"/>
      <c r="C290" s="9"/>
      <c r="I290" s="135"/>
      <c r="L290" s="9"/>
      <c r="M290" s="10"/>
    </row>
    <row r="291">
      <c r="A291" s="134"/>
      <c r="C291" s="9"/>
      <c r="I291" s="135"/>
      <c r="L291" s="9"/>
      <c r="M291" s="10"/>
    </row>
    <row r="292">
      <c r="A292" s="134"/>
      <c r="C292" s="9"/>
      <c r="I292" s="135"/>
      <c r="L292" s="9"/>
      <c r="M292" s="10"/>
    </row>
    <row r="293">
      <c r="A293" s="134"/>
      <c r="C293" s="9"/>
      <c r="I293" s="135"/>
      <c r="L293" s="9"/>
      <c r="M293" s="10"/>
    </row>
    <row r="294">
      <c r="A294" s="134"/>
      <c r="C294" s="9"/>
      <c r="I294" s="135"/>
      <c r="L294" s="9"/>
      <c r="M294" s="10"/>
    </row>
    <row r="295">
      <c r="A295" s="134"/>
      <c r="C295" s="9"/>
      <c r="I295" s="135"/>
      <c r="L295" s="9"/>
      <c r="M295" s="10"/>
    </row>
    <row r="296">
      <c r="A296" s="134"/>
      <c r="C296" s="9"/>
      <c r="I296" s="135"/>
      <c r="L296" s="9"/>
      <c r="M296" s="10"/>
    </row>
    <row r="297">
      <c r="A297" s="134"/>
      <c r="C297" s="9"/>
      <c r="I297" s="135"/>
      <c r="L297" s="9"/>
      <c r="M297" s="10"/>
    </row>
    <row r="298">
      <c r="A298" s="134"/>
      <c r="C298" s="9"/>
      <c r="I298" s="135"/>
      <c r="L298" s="9"/>
      <c r="M298" s="10"/>
    </row>
    <row r="299">
      <c r="A299" s="134"/>
      <c r="C299" s="9"/>
      <c r="I299" s="135"/>
      <c r="L299" s="9"/>
      <c r="M299" s="10"/>
    </row>
    <row r="300">
      <c r="A300" s="134"/>
      <c r="C300" s="9"/>
      <c r="I300" s="135"/>
      <c r="L300" s="9"/>
      <c r="M300" s="10"/>
    </row>
    <row r="301">
      <c r="A301" s="134"/>
      <c r="C301" s="9"/>
      <c r="I301" s="135"/>
      <c r="L301" s="9"/>
      <c r="M301" s="10"/>
    </row>
    <row r="302">
      <c r="A302" s="134"/>
      <c r="C302" s="9"/>
      <c r="I302" s="135"/>
      <c r="L302" s="9"/>
      <c r="M302" s="10"/>
    </row>
    <row r="303">
      <c r="A303" s="134"/>
      <c r="C303" s="9"/>
      <c r="I303" s="135"/>
      <c r="L303" s="9"/>
      <c r="M303" s="10"/>
    </row>
    <row r="304">
      <c r="A304" s="134"/>
      <c r="C304" s="9"/>
      <c r="I304" s="135"/>
      <c r="L304" s="9"/>
      <c r="M304" s="10"/>
    </row>
    <row r="305">
      <c r="A305" s="134"/>
      <c r="C305" s="9"/>
      <c r="I305" s="135"/>
      <c r="L305" s="9"/>
      <c r="M305" s="10"/>
    </row>
    <row r="306">
      <c r="A306" s="134"/>
      <c r="C306" s="9"/>
      <c r="I306" s="135"/>
      <c r="L306" s="9"/>
      <c r="M306" s="10"/>
    </row>
    <row r="307">
      <c r="A307" s="134"/>
      <c r="C307" s="9"/>
      <c r="I307" s="135"/>
      <c r="L307" s="9"/>
      <c r="M307" s="10"/>
    </row>
    <row r="308">
      <c r="A308" s="134"/>
      <c r="C308" s="9"/>
      <c r="I308" s="135"/>
      <c r="L308" s="9"/>
      <c r="M308" s="10"/>
    </row>
    <row r="309">
      <c r="A309" s="134"/>
      <c r="C309" s="9"/>
      <c r="I309" s="135"/>
      <c r="L309" s="9"/>
      <c r="M309" s="10"/>
    </row>
    <row r="310">
      <c r="A310" s="134"/>
      <c r="C310" s="9"/>
      <c r="I310" s="135"/>
      <c r="L310" s="9"/>
      <c r="M310" s="10"/>
    </row>
    <row r="311">
      <c r="A311" s="134"/>
      <c r="C311" s="9"/>
      <c r="I311" s="135"/>
      <c r="L311" s="9"/>
      <c r="M311" s="10"/>
    </row>
    <row r="312">
      <c r="A312" s="134"/>
      <c r="C312" s="9"/>
      <c r="I312" s="135"/>
      <c r="L312" s="9"/>
      <c r="M312" s="10"/>
    </row>
    <row r="313">
      <c r="A313" s="134"/>
      <c r="C313" s="9"/>
      <c r="I313" s="135"/>
      <c r="L313" s="9"/>
      <c r="M313" s="10"/>
    </row>
    <row r="314">
      <c r="A314" s="134"/>
      <c r="C314" s="9"/>
      <c r="I314" s="135"/>
      <c r="L314" s="9"/>
      <c r="M314" s="10"/>
    </row>
    <row r="315">
      <c r="A315" s="134"/>
      <c r="C315" s="9"/>
      <c r="I315" s="135"/>
      <c r="L315" s="9"/>
      <c r="M315" s="10"/>
    </row>
    <row r="316">
      <c r="A316" s="134"/>
      <c r="C316" s="9"/>
      <c r="I316" s="135"/>
      <c r="L316" s="9"/>
      <c r="M316" s="10"/>
    </row>
    <row r="317">
      <c r="A317" s="134"/>
      <c r="C317" s="9"/>
      <c r="I317" s="135"/>
      <c r="L317" s="9"/>
      <c r="M317" s="10"/>
    </row>
    <row r="318">
      <c r="A318" s="134"/>
      <c r="C318" s="9"/>
      <c r="I318" s="135"/>
      <c r="L318" s="9"/>
      <c r="M318" s="10"/>
    </row>
    <row r="319">
      <c r="A319" s="134"/>
      <c r="C319" s="9"/>
      <c r="I319" s="135"/>
      <c r="L319" s="9"/>
      <c r="M319" s="10"/>
    </row>
    <row r="320">
      <c r="A320" s="134"/>
      <c r="C320" s="9"/>
      <c r="I320" s="135"/>
      <c r="L320" s="9"/>
      <c r="M320" s="10"/>
    </row>
    <row r="321">
      <c r="A321" s="134"/>
      <c r="C321" s="9"/>
      <c r="I321" s="135"/>
      <c r="L321" s="9"/>
      <c r="M321" s="10"/>
    </row>
    <row r="322">
      <c r="A322" s="134"/>
      <c r="C322" s="9"/>
      <c r="I322" s="135"/>
      <c r="L322" s="9"/>
      <c r="M322" s="10"/>
    </row>
    <row r="323">
      <c r="A323" s="134"/>
      <c r="C323" s="9"/>
      <c r="I323" s="135"/>
      <c r="L323" s="9"/>
      <c r="M323" s="10"/>
    </row>
    <row r="324">
      <c r="A324" s="134"/>
      <c r="C324" s="9"/>
      <c r="I324" s="135"/>
      <c r="L324" s="9"/>
      <c r="M324" s="10"/>
    </row>
    <row r="325">
      <c r="A325" s="134"/>
      <c r="C325" s="9"/>
      <c r="I325" s="135"/>
      <c r="L325" s="9"/>
      <c r="M325" s="10"/>
    </row>
    <row r="326">
      <c r="A326" s="134"/>
      <c r="C326" s="9"/>
      <c r="I326" s="135"/>
      <c r="L326" s="9"/>
      <c r="M326" s="10"/>
    </row>
    <row r="327">
      <c r="A327" s="134"/>
      <c r="C327" s="9"/>
      <c r="I327" s="135"/>
      <c r="L327" s="9"/>
      <c r="M327" s="10"/>
    </row>
    <row r="328">
      <c r="A328" s="134"/>
      <c r="C328" s="9"/>
      <c r="I328" s="135"/>
      <c r="L328" s="9"/>
      <c r="M328" s="10"/>
    </row>
    <row r="329">
      <c r="A329" s="134"/>
      <c r="C329" s="9"/>
      <c r="I329" s="135"/>
      <c r="L329" s="9"/>
      <c r="M329" s="10"/>
    </row>
    <row r="330">
      <c r="A330" s="134"/>
      <c r="C330" s="9"/>
      <c r="I330" s="135"/>
      <c r="L330" s="9"/>
      <c r="M330" s="10"/>
    </row>
    <row r="331">
      <c r="A331" s="134"/>
      <c r="C331" s="9"/>
      <c r="I331" s="135"/>
      <c r="L331" s="9"/>
      <c r="M331" s="10"/>
    </row>
    <row r="332">
      <c r="A332" s="134"/>
      <c r="C332" s="9"/>
      <c r="I332" s="135"/>
      <c r="L332" s="9"/>
      <c r="M332" s="10"/>
    </row>
    <row r="333">
      <c r="A333" s="134"/>
      <c r="C333" s="9"/>
      <c r="I333" s="135"/>
      <c r="L333" s="9"/>
      <c r="M333" s="10"/>
    </row>
    <row r="334">
      <c r="A334" s="134"/>
      <c r="C334" s="9"/>
      <c r="I334" s="135"/>
      <c r="L334" s="9"/>
      <c r="M334" s="10"/>
    </row>
    <row r="335">
      <c r="A335" s="134"/>
      <c r="C335" s="9"/>
      <c r="I335" s="135"/>
      <c r="L335" s="9"/>
      <c r="M335" s="10"/>
    </row>
    <row r="336">
      <c r="A336" s="134"/>
      <c r="C336" s="9"/>
      <c r="I336" s="135"/>
      <c r="L336" s="9"/>
      <c r="M336" s="10"/>
    </row>
    <row r="337">
      <c r="A337" s="134"/>
      <c r="C337" s="9"/>
      <c r="I337" s="135"/>
      <c r="L337" s="9"/>
      <c r="M337" s="10"/>
    </row>
    <row r="338">
      <c r="A338" s="134"/>
      <c r="C338" s="9"/>
      <c r="I338" s="135"/>
      <c r="L338" s="9"/>
      <c r="M338" s="10"/>
    </row>
    <row r="339">
      <c r="A339" s="134"/>
      <c r="C339" s="9"/>
      <c r="I339" s="135"/>
      <c r="L339" s="9"/>
      <c r="M339" s="10"/>
    </row>
    <row r="340">
      <c r="A340" s="134"/>
      <c r="C340" s="9"/>
      <c r="I340" s="135"/>
      <c r="L340" s="9"/>
      <c r="M340" s="10"/>
    </row>
    <row r="341">
      <c r="A341" s="134"/>
      <c r="C341" s="9"/>
      <c r="I341" s="135"/>
      <c r="L341" s="9"/>
      <c r="M341" s="10"/>
    </row>
    <row r="342">
      <c r="A342" s="134"/>
      <c r="C342" s="9"/>
      <c r="I342" s="135"/>
      <c r="L342" s="9"/>
      <c r="M342" s="10"/>
    </row>
    <row r="343">
      <c r="A343" s="134"/>
      <c r="C343" s="9"/>
      <c r="I343" s="135"/>
      <c r="L343" s="9"/>
      <c r="M343" s="10"/>
    </row>
    <row r="344">
      <c r="A344" s="134"/>
      <c r="C344" s="9"/>
      <c r="I344" s="135"/>
      <c r="L344" s="9"/>
      <c r="M344" s="10"/>
    </row>
    <row r="345">
      <c r="A345" s="134"/>
      <c r="C345" s="9"/>
      <c r="I345" s="135"/>
      <c r="L345" s="9"/>
      <c r="M345" s="10"/>
    </row>
    <row r="346">
      <c r="A346" s="134"/>
      <c r="C346" s="9"/>
      <c r="I346" s="135"/>
      <c r="L346" s="9"/>
      <c r="M346" s="10"/>
    </row>
    <row r="347">
      <c r="A347" s="134"/>
      <c r="C347" s="9"/>
      <c r="I347" s="135"/>
      <c r="L347" s="9"/>
      <c r="M347" s="10"/>
    </row>
    <row r="348">
      <c r="A348" s="134"/>
      <c r="C348" s="9"/>
      <c r="I348" s="135"/>
      <c r="L348" s="9"/>
      <c r="M348" s="10"/>
    </row>
    <row r="349">
      <c r="A349" s="134"/>
      <c r="C349" s="9"/>
      <c r="I349" s="135"/>
      <c r="L349" s="9"/>
      <c r="M349" s="10"/>
    </row>
    <row r="350">
      <c r="A350" s="134"/>
      <c r="C350" s="9"/>
      <c r="I350" s="135"/>
      <c r="L350" s="9"/>
      <c r="M350" s="10"/>
    </row>
    <row r="351">
      <c r="A351" s="134"/>
      <c r="C351" s="9"/>
      <c r="I351" s="135"/>
      <c r="L351" s="9"/>
      <c r="M351" s="10"/>
    </row>
    <row r="352">
      <c r="A352" s="134"/>
      <c r="C352" s="9"/>
      <c r="I352" s="135"/>
      <c r="L352" s="9"/>
      <c r="M352" s="10"/>
    </row>
    <row r="353">
      <c r="A353" s="134"/>
      <c r="C353" s="9"/>
      <c r="I353" s="135"/>
      <c r="L353" s="9"/>
      <c r="M353" s="10"/>
    </row>
    <row r="354">
      <c r="A354" s="134"/>
      <c r="C354" s="9"/>
      <c r="I354" s="135"/>
      <c r="L354" s="9"/>
      <c r="M354" s="10"/>
    </row>
    <row r="355">
      <c r="A355" s="134"/>
      <c r="C355" s="9"/>
      <c r="I355" s="135"/>
      <c r="L355" s="9"/>
      <c r="M355" s="10"/>
    </row>
    <row r="356">
      <c r="A356" s="134"/>
      <c r="C356" s="9"/>
      <c r="I356" s="135"/>
      <c r="L356" s="9"/>
      <c r="M356" s="10"/>
    </row>
    <row r="357">
      <c r="A357" s="134"/>
      <c r="C357" s="9"/>
      <c r="I357" s="135"/>
      <c r="L357" s="9"/>
      <c r="M357" s="10"/>
    </row>
    <row r="358">
      <c r="A358" s="134"/>
      <c r="C358" s="9"/>
      <c r="I358" s="135"/>
      <c r="L358" s="9"/>
      <c r="M358" s="10"/>
    </row>
    <row r="359">
      <c r="A359" s="134"/>
      <c r="C359" s="9"/>
      <c r="I359" s="135"/>
      <c r="L359" s="9"/>
      <c r="M359" s="10"/>
    </row>
    <row r="360">
      <c r="A360" s="134"/>
      <c r="C360" s="9"/>
      <c r="I360" s="135"/>
      <c r="L360" s="9"/>
      <c r="M360" s="10"/>
    </row>
    <row r="361">
      <c r="A361" s="134"/>
      <c r="C361" s="9"/>
      <c r="I361" s="135"/>
      <c r="L361" s="9"/>
      <c r="M361" s="10"/>
    </row>
    <row r="362">
      <c r="A362" s="134"/>
      <c r="C362" s="9"/>
      <c r="I362" s="135"/>
      <c r="L362" s="9"/>
      <c r="M362" s="10"/>
    </row>
    <row r="363">
      <c r="A363" s="134"/>
      <c r="C363" s="9"/>
      <c r="I363" s="135"/>
      <c r="L363" s="9"/>
      <c r="M363" s="10"/>
    </row>
    <row r="364">
      <c r="A364" s="134"/>
      <c r="C364" s="9"/>
      <c r="I364" s="135"/>
      <c r="L364" s="9"/>
      <c r="M364" s="10"/>
    </row>
    <row r="365">
      <c r="A365" s="134"/>
      <c r="C365" s="9"/>
      <c r="I365" s="135"/>
      <c r="L365" s="9"/>
      <c r="M365" s="10"/>
    </row>
    <row r="366">
      <c r="A366" s="134"/>
      <c r="C366" s="9"/>
      <c r="I366" s="135"/>
      <c r="L366" s="9"/>
      <c r="M366" s="10"/>
    </row>
    <row r="367">
      <c r="A367" s="134"/>
      <c r="C367" s="9"/>
      <c r="I367" s="135"/>
      <c r="L367" s="9"/>
      <c r="M367" s="10"/>
    </row>
    <row r="368">
      <c r="A368" s="134"/>
      <c r="C368" s="9"/>
      <c r="I368" s="135"/>
      <c r="L368" s="9"/>
      <c r="M368" s="10"/>
    </row>
    <row r="369">
      <c r="A369" s="134"/>
      <c r="C369" s="9"/>
      <c r="I369" s="135"/>
      <c r="L369" s="9"/>
      <c r="M369" s="10"/>
    </row>
    <row r="370">
      <c r="A370" s="134"/>
      <c r="C370" s="9"/>
      <c r="I370" s="135"/>
      <c r="L370" s="9"/>
      <c r="M370" s="10"/>
    </row>
    <row r="371">
      <c r="A371" s="134"/>
      <c r="C371" s="9"/>
      <c r="I371" s="135"/>
      <c r="L371" s="9"/>
      <c r="M371" s="10"/>
    </row>
    <row r="372">
      <c r="A372" s="134"/>
      <c r="C372" s="9"/>
      <c r="I372" s="135"/>
      <c r="L372" s="9"/>
      <c r="M372" s="10"/>
    </row>
    <row r="373">
      <c r="A373" s="134"/>
      <c r="C373" s="9"/>
      <c r="I373" s="135"/>
      <c r="L373" s="9"/>
      <c r="M373" s="10"/>
    </row>
    <row r="374">
      <c r="A374" s="134"/>
      <c r="C374" s="9"/>
      <c r="I374" s="135"/>
      <c r="L374" s="9"/>
      <c r="M374" s="10"/>
    </row>
    <row r="375">
      <c r="A375" s="134"/>
      <c r="C375" s="9"/>
      <c r="I375" s="135"/>
      <c r="L375" s="9"/>
      <c r="M375" s="10"/>
    </row>
    <row r="376">
      <c r="A376" s="134"/>
      <c r="C376" s="9"/>
      <c r="I376" s="135"/>
      <c r="L376" s="9"/>
      <c r="M376" s="10"/>
    </row>
    <row r="377">
      <c r="A377" s="134"/>
      <c r="C377" s="9"/>
      <c r="I377" s="135"/>
      <c r="L377" s="9"/>
      <c r="M377" s="10"/>
    </row>
    <row r="378">
      <c r="A378" s="134"/>
      <c r="C378" s="9"/>
      <c r="I378" s="135"/>
      <c r="L378" s="9"/>
      <c r="M378" s="10"/>
    </row>
    <row r="379">
      <c r="A379" s="134"/>
      <c r="C379" s="9"/>
      <c r="I379" s="135"/>
      <c r="L379" s="9"/>
      <c r="M379" s="10"/>
    </row>
    <row r="380">
      <c r="A380" s="134"/>
      <c r="C380" s="9"/>
      <c r="I380" s="135"/>
      <c r="L380" s="9"/>
      <c r="M380" s="10"/>
    </row>
    <row r="381">
      <c r="A381" s="134"/>
      <c r="C381" s="9"/>
      <c r="I381" s="135"/>
      <c r="L381" s="9"/>
      <c r="M381" s="10"/>
    </row>
    <row r="382">
      <c r="A382" s="134"/>
      <c r="C382" s="9"/>
      <c r="I382" s="135"/>
      <c r="L382" s="9"/>
      <c r="M382" s="10"/>
    </row>
    <row r="383">
      <c r="A383" s="134"/>
      <c r="C383" s="9"/>
      <c r="I383" s="135"/>
      <c r="L383" s="9"/>
      <c r="M383" s="10"/>
    </row>
    <row r="384">
      <c r="A384" s="134"/>
      <c r="C384" s="9"/>
      <c r="I384" s="135"/>
      <c r="L384" s="9"/>
      <c r="M384" s="10"/>
    </row>
    <row r="385">
      <c r="A385" s="134"/>
      <c r="C385" s="9"/>
      <c r="I385" s="135"/>
      <c r="L385" s="9"/>
      <c r="M385" s="10"/>
    </row>
    <row r="386">
      <c r="A386" s="134"/>
      <c r="C386" s="9"/>
      <c r="I386" s="135"/>
      <c r="L386" s="9"/>
      <c r="M386" s="10"/>
    </row>
    <row r="387">
      <c r="A387" s="134"/>
      <c r="C387" s="9"/>
      <c r="I387" s="135"/>
      <c r="L387" s="9"/>
      <c r="M387" s="10"/>
    </row>
    <row r="388">
      <c r="A388" s="134"/>
      <c r="C388" s="9"/>
      <c r="I388" s="135"/>
      <c r="L388" s="9"/>
      <c r="M388" s="10"/>
    </row>
    <row r="389">
      <c r="A389" s="134"/>
      <c r="C389" s="9"/>
      <c r="I389" s="135"/>
      <c r="L389" s="9"/>
      <c r="M389" s="10"/>
    </row>
    <row r="390">
      <c r="A390" s="134"/>
      <c r="C390" s="9"/>
      <c r="I390" s="135"/>
      <c r="L390" s="9"/>
      <c r="M390" s="10"/>
    </row>
    <row r="391">
      <c r="A391" s="134"/>
      <c r="C391" s="9"/>
      <c r="I391" s="135"/>
      <c r="L391" s="9"/>
      <c r="M391" s="10"/>
    </row>
    <row r="392">
      <c r="A392" s="134"/>
      <c r="C392" s="9"/>
      <c r="I392" s="135"/>
      <c r="L392" s="9"/>
      <c r="M392" s="10"/>
    </row>
    <row r="393">
      <c r="A393" s="134"/>
      <c r="C393" s="9"/>
      <c r="I393" s="135"/>
      <c r="L393" s="9"/>
      <c r="M393" s="10"/>
    </row>
    <row r="394">
      <c r="A394" s="134"/>
      <c r="C394" s="9"/>
      <c r="I394" s="135"/>
      <c r="L394" s="9"/>
      <c r="M394" s="10"/>
    </row>
    <row r="395">
      <c r="A395" s="134"/>
      <c r="C395" s="9"/>
      <c r="I395" s="135"/>
      <c r="L395" s="9"/>
      <c r="M395" s="10"/>
    </row>
    <row r="396">
      <c r="A396" s="134"/>
      <c r="C396" s="9"/>
      <c r="I396" s="135"/>
      <c r="L396" s="9"/>
      <c r="M396" s="10"/>
    </row>
    <row r="397">
      <c r="A397" s="134"/>
      <c r="C397" s="9"/>
      <c r="I397" s="135"/>
      <c r="L397" s="9"/>
      <c r="M397" s="10"/>
    </row>
    <row r="398">
      <c r="A398" s="134"/>
      <c r="C398" s="9"/>
      <c r="I398" s="135"/>
      <c r="L398" s="9"/>
      <c r="M398" s="10"/>
    </row>
    <row r="399">
      <c r="A399" s="134"/>
      <c r="C399" s="9"/>
      <c r="I399" s="135"/>
      <c r="L399" s="9"/>
      <c r="M399" s="10"/>
    </row>
    <row r="400">
      <c r="A400" s="134"/>
      <c r="C400" s="9"/>
      <c r="I400" s="135"/>
      <c r="L400" s="9"/>
      <c r="M400" s="10"/>
    </row>
    <row r="401">
      <c r="A401" s="134"/>
      <c r="C401" s="9"/>
      <c r="I401" s="135"/>
      <c r="L401" s="9"/>
      <c r="M401" s="10"/>
    </row>
    <row r="402">
      <c r="A402" s="134"/>
      <c r="C402" s="9"/>
      <c r="I402" s="135"/>
      <c r="L402" s="9"/>
      <c r="M402" s="10"/>
    </row>
    <row r="403">
      <c r="A403" s="134"/>
      <c r="C403" s="9"/>
      <c r="I403" s="135"/>
      <c r="L403" s="9"/>
      <c r="M403" s="10"/>
    </row>
    <row r="404">
      <c r="A404" s="134"/>
      <c r="C404" s="9"/>
      <c r="I404" s="135"/>
      <c r="L404" s="9"/>
      <c r="M404" s="10"/>
    </row>
    <row r="405">
      <c r="A405" s="134"/>
      <c r="C405" s="9"/>
      <c r="I405" s="135"/>
      <c r="L405" s="9"/>
      <c r="M405" s="10"/>
    </row>
    <row r="406">
      <c r="A406" s="134"/>
      <c r="C406" s="9"/>
      <c r="I406" s="135"/>
      <c r="L406" s="9"/>
      <c r="M406" s="10"/>
    </row>
    <row r="407">
      <c r="A407" s="134"/>
      <c r="C407" s="9"/>
      <c r="I407" s="135"/>
      <c r="L407" s="9"/>
      <c r="M407" s="10"/>
    </row>
    <row r="408">
      <c r="A408" s="134"/>
      <c r="C408" s="9"/>
      <c r="I408" s="135"/>
      <c r="L408" s="9"/>
      <c r="M408" s="10"/>
    </row>
    <row r="409">
      <c r="A409" s="134"/>
      <c r="C409" s="9"/>
      <c r="I409" s="135"/>
      <c r="L409" s="9"/>
      <c r="M409" s="10"/>
    </row>
    <row r="410">
      <c r="A410" s="134"/>
      <c r="C410" s="9"/>
      <c r="I410" s="135"/>
      <c r="L410" s="9"/>
      <c r="M410" s="10"/>
    </row>
    <row r="411">
      <c r="A411" s="134"/>
      <c r="C411" s="9"/>
      <c r="I411" s="135"/>
      <c r="L411" s="9"/>
      <c r="M411" s="10"/>
    </row>
    <row r="412">
      <c r="A412" s="134"/>
      <c r="C412" s="9"/>
      <c r="I412" s="135"/>
      <c r="L412" s="9"/>
      <c r="M412" s="10"/>
    </row>
    <row r="413">
      <c r="A413" s="134"/>
      <c r="C413" s="9"/>
      <c r="I413" s="135"/>
      <c r="L413" s="9"/>
      <c r="M413" s="10"/>
    </row>
    <row r="414">
      <c r="A414" s="134"/>
      <c r="C414" s="9"/>
      <c r="I414" s="135"/>
      <c r="L414" s="9"/>
      <c r="M414" s="10"/>
    </row>
    <row r="415">
      <c r="A415" s="134"/>
      <c r="C415" s="9"/>
      <c r="I415" s="135"/>
      <c r="L415" s="9"/>
      <c r="M415" s="10"/>
    </row>
    <row r="416">
      <c r="A416" s="134"/>
      <c r="C416" s="9"/>
      <c r="I416" s="135"/>
      <c r="L416" s="9"/>
      <c r="M416" s="10"/>
    </row>
    <row r="417">
      <c r="A417" s="134"/>
      <c r="C417" s="9"/>
      <c r="I417" s="135"/>
      <c r="L417" s="9"/>
      <c r="M417" s="10"/>
    </row>
    <row r="418">
      <c r="A418" s="134"/>
      <c r="C418" s="9"/>
      <c r="I418" s="135"/>
      <c r="L418" s="9"/>
      <c r="M418" s="10"/>
    </row>
    <row r="419">
      <c r="A419" s="134"/>
      <c r="C419" s="9"/>
      <c r="I419" s="135"/>
      <c r="L419" s="9"/>
      <c r="M419" s="10"/>
    </row>
    <row r="420">
      <c r="A420" s="134"/>
      <c r="C420" s="9"/>
      <c r="I420" s="135"/>
      <c r="L420" s="9"/>
      <c r="M420" s="10"/>
    </row>
    <row r="421">
      <c r="A421" s="134"/>
      <c r="C421" s="9"/>
      <c r="I421" s="135"/>
      <c r="L421" s="9"/>
      <c r="M421" s="10"/>
    </row>
    <row r="422">
      <c r="A422" s="134"/>
      <c r="C422" s="9"/>
      <c r="I422" s="135"/>
      <c r="L422" s="9"/>
      <c r="M422" s="10"/>
    </row>
    <row r="423">
      <c r="A423" s="134"/>
      <c r="C423" s="9"/>
      <c r="I423" s="135"/>
      <c r="L423" s="9"/>
      <c r="M423" s="10"/>
    </row>
    <row r="424">
      <c r="A424" s="134"/>
      <c r="C424" s="9"/>
      <c r="I424" s="135"/>
      <c r="L424" s="9"/>
      <c r="M424" s="10"/>
    </row>
    <row r="425">
      <c r="A425" s="134"/>
      <c r="C425" s="9"/>
      <c r="I425" s="135"/>
      <c r="L425" s="9"/>
      <c r="M425" s="10"/>
    </row>
    <row r="426">
      <c r="A426" s="134"/>
      <c r="C426" s="9"/>
      <c r="I426" s="135"/>
      <c r="L426" s="9"/>
      <c r="M426" s="10"/>
    </row>
    <row r="427">
      <c r="A427" s="134"/>
      <c r="C427" s="9"/>
      <c r="I427" s="135"/>
      <c r="L427" s="9"/>
      <c r="M427" s="10"/>
    </row>
    <row r="428">
      <c r="A428" s="134"/>
      <c r="C428" s="9"/>
      <c r="I428" s="135"/>
      <c r="L428" s="9"/>
      <c r="M428" s="10"/>
    </row>
    <row r="429">
      <c r="A429" s="134"/>
      <c r="C429" s="9"/>
      <c r="I429" s="135"/>
      <c r="L429" s="9"/>
      <c r="M429" s="10"/>
    </row>
    <row r="430">
      <c r="A430" s="134"/>
      <c r="C430" s="9"/>
      <c r="I430" s="135"/>
      <c r="L430" s="9"/>
      <c r="M430" s="10"/>
    </row>
    <row r="431">
      <c r="A431" s="134"/>
      <c r="C431" s="9"/>
      <c r="I431" s="135"/>
      <c r="L431" s="9"/>
      <c r="M431" s="10"/>
    </row>
    <row r="432">
      <c r="A432" s="134"/>
      <c r="C432" s="9"/>
      <c r="I432" s="135"/>
      <c r="L432" s="9"/>
      <c r="M432" s="10"/>
    </row>
    <row r="433">
      <c r="A433" s="134"/>
      <c r="C433" s="9"/>
      <c r="I433" s="135"/>
      <c r="L433" s="9"/>
      <c r="M433" s="10"/>
    </row>
    <row r="434">
      <c r="A434" s="134"/>
      <c r="C434" s="9"/>
      <c r="I434" s="135"/>
      <c r="L434" s="9"/>
      <c r="M434" s="10"/>
    </row>
    <row r="435">
      <c r="A435" s="134"/>
      <c r="C435" s="9"/>
      <c r="I435" s="135"/>
      <c r="L435" s="9"/>
      <c r="M435" s="10"/>
    </row>
    <row r="436">
      <c r="A436" s="134"/>
      <c r="C436" s="9"/>
      <c r="I436" s="135"/>
      <c r="L436" s="9"/>
      <c r="M436" s="10"/>
    </row>
    <row r="437">
      <c r="A437" s="134"/>
      <c r="C437" s="9"/>
      <c r="I437" s="135"/>
      <c r="L437" s="9"/>
      <c r="M437" s="10"/>
    </row>
    <row r="438">
      <c r="A438" s="134"/>
      <c r="C438" s="9"/>
      <c r="I438" s="135"/>
      <c r="L438" s="9"/>
      <c r="M438" s="10"/>
    </row>
    <row r="439">
      <c r="A439" s="134"/>
      <c r="C439" s="9"/>
      <c r="I439" s="135"/>
      <c r="L439" s="9"/>
      <c r="M439" s="10"/>
    </row>
    <row r="440">
      <c r="A440" s="134"/>
      <c r="C440" s="9"/>
      <c r="I440" s="135"/>
      <c r="L440" s="9"/>
      <c r="M440" s="10"/>
    </row>
    <row r="441">
      <c r="A441" s="134"/>
      <c r="C441" s="9"/>
      <c r="I441" s="135"/>
      <c r="L441" s="9"/>
      <c r="M441" s="10"/>
    </row>
    <row r="442">
      <c r="A442" s="134"/>
      <c r="C442" s="9"/>
      <c r="I442" s="135"/>
      <c r="L442" s="9"/>
      <c r="M442" s="10"/>
    </row>
    <row r="443">
      <c r="A443" s="134"/>
      <c r="C443" s="9"/>
      <c r="I443" s="135"/>
      <c r="L443" s="9"/>
      <c r="M443" s="10"/>
    </row>
    <row r="444">
      <c r="A444" s="134"/>
      <c r="C444" s="9"/>
      <c r="I444" s="135"/>
      <c r="L444" s="9"/>
      <c r="M444" s="10"/>
    </row>
    <row r="445">
      <c r="A445" s="134"/>
      <c r="C445" s="9"/>
      <c r="I445" s="135"/>
      <c r="L445" s="9"/>
      <c r="M445" s="10"/>
    </row>
    <row r="446">
      <c r="A446" s="134"/>
      <c r="C446" s="9"/>
      <c r="I446" s="135"/>
      <c r="L446" s="9"/>
      <c r="M446" s="10"/>
    </row>
    <row r="447">
      <c r="A447" s="134"/>
      <c r="C447" s="9"/>
      <c r="I447" s="135"/>
      <c r="L447" s="9"/>
      <c r="M447" s="10"/>
    </row>
    <row r="448">
      <c r="A448" s="134"/>
      <c r="C448" s="9"/>
      <c r="I448" s="135"/>
      <c r="L448" s="9"/>
      <c r="M448" s="10"/>
    </row>
    <row r="449">
      <c r="A449" s="134"/>
      <c r="C449" s="9"/>
      <c r="I449" s="135"/>
      <c r="L449" s="9"/>
      <c r="M449" s="10"/>
    </row>
    <row r="450">
      <c r="A450" s="134"/>
      <c r="C450" s="9"/>
      <c r="I450" s="135"/>
      <c r="L450" s="9"/>
      <c r="M450" s="10"/>
    </row>
    <row r="451">
      <c r="A451" s="134"/>
      <c r="C451" s="9"/>
      <c r="I451" s="135"/>
      <c r="L451" s="9"/>
      <c r="M451" s="10"/>
    </row>
    <row r="452">
      <c r="A452" s="134"/>
      <c r="C452" s="9"/>
      <c r="I452" s="135"/>
      <c r="L452" s="9"/>
      <c r="M452" s="10"/>
    </row>
    <row r="453">
      <c r="A453" s="134"/>
      <c r="C453" s="9"/>
      <c r="I453" s="135"/>
      <c r="L453" s="9"/>
      <c r="M453" s="10"/>
    </row>
    <row r="454">
      <c r="A454" s="134"/>
      <c r="C454" s="9"/>
      <c r="I454" s="135"/>
      <c r="L454" s="9"/>
      <c r="M454" s="10"/>
    </row>
    <row r="455">
      <c r="A455" s="134"/>
      <c r="C455" s="9"/>
      <c r="I455" s="135"/>
      <c r="L455" s="9"/>
      <c r="M455" s="10"/>
    </row>
    <row r="456">
      <c r="A456" s="134"/>
      <c r="C456" s="9"/>
      <c r="I456" s="135"/>
      <c r="L456" s="9"/>
      <c r="M456" s="10"/>
    </row>
    <row r="457">
      <c r="A457" s="134"/>
      <c r="C457" s="9"/>
      <c r="I457" s="135"/>
      <c r="L457" s="9"/>
      <c r="M457" s="10"/>
    </row>
    <row r="458">
      <c r="A458" s="134"/>
      <c r="C458" s="9"/>
      <c r="I458" s="135"/>
      <c r="L458" s="9"/>
      <c r="M458" s="10"/>
    </row>
    <row r="459">
      <c r="A459" s="134"/>
      <c r="C459" s="9"/>
      <c r="I459" s="135"/>
      <c r="L459" s="9"/>
      <c r="M459" s="10"/>
    </row>
    <row r="460">
      <c r="A460" s="134"/>
      <c r="C460" s="9"/>
      <c r="I460" s="135"/>
      <c r="L460" s="9"/>
      <c r="M460" s="10"/>
    </row>
    <row r="461">
      <c r="A461" s="134"/>
      <c r="C461" s="9"/>
      <c r="I461" s="135"/>
      <c r="L461" s="9"/>
      <c r="M461" s="10"/>
    </row>
    <row r="462">
      <c r="A462" s="134"/>
      <c r="C462" s="9"/>
      <c r="I462" s="135"/>
      <c r="L462" s="9"/>
      <c r="M462" s="10"/>
    </row>
    <row r="463">
      <c r="A463" s="134"/>
      <c r="C463" s="9"/>
      <c r="I463" s="135"/>
      <c r="L463" s="9"/>
      <c r="M463" s="10"/>
    </row>
    <row r="464">
      <c r="A464" s="134"/>
      <c r="C464" s="9"/>
      <c r="I464" s="135"/>
      <c r="L464" s="9"/>
      <c r="M464" s="10"/>
    </row>
    <row r="465">
      <c r="A465" s="134"/>
      <c r="C465" s="9"/>
      <c r="I465" s="135"/>
      <c r="L465" s="9"/>
      <c r="M465" s="10"/>
    </row>
    <row r="466">
      <c r="A466" s="134"/>
      <c r="C466" s="9"/>
      <c r="I466" s="135"/>
      <c r="L466" s="9"/>
      <c r="M466" s="10"/>
    </row>
    <row r="467">
      <c r="A467" s="134"/>
      <c r="C467" s="9"/>
      <c r="I467" s="135"/>
      <c r="L467" s="9"/>
      <c r="M467" s="10"/>
    </row>
    <row r="468">
      <c r="A468" s="134"/>
      <c r="C468" s="9"/>
      <c r="I468" s="135"/>
      <c r="L468" s="9"/>
      <c r="M468" s="10"/>
    </row>
    <row r="469">
      <c r="A469" s="134"/>
      <c r="C469" s="9"/>
      <c r="I469" s="135"/>
      <c r="L469" s="9"/>
      <c r="M469" s="10"/>
    </row>
    <row r="470">
      <c r="A470" s="134"/>
      <c r="C470" s="9"/>
      <c r="I470" s="135"/>
      <c r="L470" s="9"/>
      <c r="M470" s="10"/>
    </row>
    <row r="471">
      <c r="A471" s="134"/>
      <c r="C471" s="9"/>
      <c r="I471" s="135"/>
      <c r="L471" s="9"/>
      <c r="M471" s="10"/>
    </row>
    <row r="472">
      <c r="A472" s="134"/>
      <c r="C472" s="9"/>
      <c r="I472" s="135"/>
      <c r="L472" s="9"/>
      <c r="M472" s="10"/>
    </row>
    <row r="473">
      <c r="A473" s="134"/>
      <c r="C473" s="9"/>
      <c r="I473" s="135"/>
      <c r="L473" s="9"/>
      <c r="M473" s="10"/>
    </row>
    <row r="474">
      <c r="A474" s="134"/>
      <c r="C474" s="9"/>
      <c r="I474" s="135"/>
      <c r="L474" s="9"/>
      <c r="M474" s="10"/>
    </row>
    <row r="475">
      <c r="A475" s="134"/>
      <c r="C475" s="9"/>
      <c r="I475" s="135"/>
      <c r="L475" s="9"/>
      <c r="M475" s="10"/>
    </row>
    <row r="476">
      <c r="A476" s="134"/>
      <c r="C476" s="9"/>
      <c r="I476" s="135"/>
      <c r="L476" s="9"/>
      <c r="M476" s="10"/>
    </row>
    <row r="477">
      <c r="A477" s="134"/>
      <c r="C477" s="9"/>
      <c r="I477" s="135"/>
      <c r="L477" s="9"/>
      <c r="M477" s="10"/>
    </row>
    <row r="478">
      <c r="A478" s="134"/>
      <c r="C478" s="9"/>
      <c r="I478" s="135"/>
      <c r="L478" s="9"/>
      <c r="M478" s="10"/>
    </row>
    <row r="479">
      <c r="A479" s="134"/>
      <c r="C479" s="9"/>
      <c r="I479" s="135"/>
      <c r="L479" s="9"/>
      <c r="M479" s="10"/>
    </row>
    <row r="480">
      <c r="A480" s="134"/>
      <c r="C480" s="9"/>
      <c r="I480" s="135"/>
      <c r="L480" s="9"/>
      <c r="M480" s="10"/>
    </row>
    <row r="481">
      <c r="A481" s="134"/>
      <c r="C481" s="9"/>
      <c r="I481" s="135"/>
      <c r="L481" s="9"/>
      <c r="M481" s="10"/>
    </row>
    <row r="482">
      <c r="A482" s="134"/>
      <c r="C482" s="9"/>
      <c r="I482" s="135"/>
      <c r="L482" s="9"/>
      <c r="M482" s="10"/>
    </row>
    <row r="483">
      <c r="A483" s="134"/>
      <c r="C483" s="9"/>
      <c r="I483" s="135"/>
      <c r="L483" s="9"/>
      <c r="M483" s="10"/>
    </row>
    <row r="484">
      <c r="A484" s="134"/>
      <c r="C484" s="9"/>
      <c r="I484" s="135"/>
      <c r="L484" s="9"/>
      <c r="M484" s="10"/>
    </row>
    <row r="485">
      <c r="A485" s="134"/>
      <c r="C485" s="9"/>
      <c r="I485" s="135"/>
      <c r="L485" s="9"/>
      <c r="M485" s="10"/>
    </row>
    <row r="486">
      <c r="A486" s="134"/>
      <c r="C486" s="9"/>
      <c r="I486" s="135"/>
      <c r="L486" s="9"/>
      <c r="M486" s="10"/>
    </row>
    <row r="487">
      <c r="A487" s="134"/>
      <c r="C487" s="9"/>
      <c r="I487" s="135"/>
      <c r="L487" s="9"/>
      <c r="M487" s="10"/>
    </row>
    <row r="488">
      <c r="A488" s="134"/>
      <c r="C488" s="9"/>
      <c r="I488" s="135"/>
      <c r="L488" s="9"/>
      <c r="M488" s="10"/>
    </row>
    <row r="489">
      <c r="A489" s="134"/>
      <c r="C489" s="9"/>
      <c r="I489" s="135"/>
      <c r="L489" s="9"/>
      <c r="M489" s="10"/>
    </row>
    <row r="490">
      <c r="A490" s="134"/>
      <c r="C490" s="9"/>
      <c r="I490" s="135"/>
      <c r="L490" s="9"/>
      <c r="M490" s="10"/>
    </row>
    <row r="491">
      <c r="A491" s="134"/>
      <c r="C491" s="9"/>
      <c r="I491" s="135"/>
      <c r="L491" s="9"/>
      <c r="M491" s="10"/>
    </row>
    <row r="492">
      <c r="A492" s="134"/>
      <c r="C492" s="9"/>
      <c r="I492" s="135"/>
      <c r="L492" s="9"/>
      <c r="M492" s="10"/>
    </row>
    <row r="493">
      <c r="A493" s="134"/>
      <c r="C493" s="9"/>
      <c r="I493" s="135"/>
      <c r="L493" s="9"/>
      <c r="M493" s="10"/>
    </row>
    <row r="494">
      <c r="A494" s="134"/>
      <c r="C494" s="9"/>
      <c r="I494" s="135"/>
      <c r="L494" s="9"/>
      <c r="M494" s="10"/>
    </row>
    <row r="495">
      <c r="A495" s="134"/>
      <c r="C495" s="9"/>
      <c r="I495" s="135"/>
      <c r="L495" s="9"/>
      <c r="M495" s="10"/>
    </row>
    <row r="496">
      <c r="A496" s="134"/>
      <c r="C496" s="9"/>
      <c r="I496" s="135"/>
      <c r="L496" s="9"/>
      <c r="M496" s="10"/>
    </row>
    <row r="497">
      <c r="A497" s="134"/>
      <c r="C497" s="9"/>
      <c r="I497" s="135"/>
      <c r="L497" s="9"/>
      <c r="M497" s="10"/>
    </row>
    <row r="498">
      <c r="A498" s="134"/>
      <c r="C498" s="9"/>
      <c r="I498" s="135"/>
      <c r="L498" s="9"/>
      <c r="M498" s="10"/>
    </row>
    <row r="499">
      <c r="A499" s="134"/>
      <c r="C499" s="9"/>
      <c r="I499" s="135"/>
      <c r="L499" s="9"/>
      <c r="M499" s="10"/>
    </row>
    <row r="500">
      <c r="A500" s="134"/>
      <c r="C500" s="9"/>
      <c r="I500" s="135"/>
      <c r="L500" s="9"/>
      <c r="M500" s="10"/>
    </row>
    <row r="501">
      <c r="A501" s="134"/>
      <c r="C501" s="9"/>
      <c r="I501" s="135"/>
      <c r="L501" s="9"/>
      <c r="M501" s="10"/>
    </row>
    <row r="502">
      <c r="A502" s="134"/>
      <c r="C502" s="9"/>
      <c r="I502" s="135"/>
      <c r="L502" s="9"/>
      <c r="M502" s="10"/>
    </row>
    <row r="503">
      <c r="A503" s="134"/>
      <c r="C503" s="9"/>
      <c r="I503" s="135"/>
      <c r="L503" s="9"/>
      <c r="M503" s="10"/>
    </row>
    <row r="504">
      <c r="A504" s="134"/>
      <c r="C504" s="9"/>
      <c r="I504" s="135"/>
      <c r="L504" s="9"/>
      <c r="M504" s="10"/>
    </row>
    <row r="505">
      <c r="A505" s="134"/>
      <c r="C505" s="9"/>
      <c r="I505" s="135"/>
      <c r="L505" s="9"/>
      <c r="M505" s="10"/>
    </row>
    <row r="506">
      <c r="A506" s="134"/>
      <c r="C506" s="9"/>
      <c r="I506" s="135"/>
      <c r="L506" s="9"/>
      <c r="M506" s="10"/>
    </row>
    <row r="507">
      <c r="A507" s="134"/>
      <c r="C507" s="9"/>
      <c r="I507" s="135"/>
      <c r="L507" s="9"/>
      <c r="M507" s="10"/>
    </row>
    <row r="508">
      <c r="A508" s="134"/>
      <c r="C508" s="9"/>
      <c r="I508" s="135"/>
      <c r="L508" s="9"/>
      <c r="M508" s="10"/>
    </row>
    <row r="509">
      <c r="A509" s="134"/>
      <c r="C509" s="9"/>
      <c r="I509" s="135"/>
      <c r="L509" s="9"/>
      <c r="M509" s="10"/>
    </row>
    <row r="510">
      <c r="A510" s="134"/>
      <c r="C510" s="9"/>
      <c r="I510" s="135"/>
      <c r="L510" s="9"/>
      <c r="M510" s="10"/>
    </row>
    <row r="511">
      <c r="A511" s="134"/>
      <c r="C511" s="9"/>
      <c r="I511" s="135"/>
      <c r="L511" s="9"/>
      <c r="M511" s="10"/>
    </row>
    <row r="512">
      <c r="A512" s="134"/>
      <c r="C512" s="9"/>
      <c r="I512" s="135"/>
      <c r="L512" s="9"/>
      <c r="M512" s="10"/>
    </row>
    <row r="513">
      <c r="A513" s="134"/>
      <c r="C513" s="9"/>
      <c r="I513" s="135"/>
      <c r="L513" s="9"/>
      <c r="M513" s="10"/>
    </row>
    <row r="514">
      <c r="A514" s="134"/>
      <c r="C514" s="9"/>
      <c r="I514" s="135"/>
      <c r="L514" s="9"/>
      <c r="M514" s="10"/>
    </row>
    <row r="515">
      <c r="A515" s="134"/>
      <c r="C515" s="9"/>
      <c r="I515" s="135"/>
      <c r="L515" s="9"/>
      <c r="M515" s="10"/>
    </row>
    <row r="516">
      <c r="A516" s="134"/>
      <c r="C516" s="9"/>
      <c r="I516" s="135"/>
      <c r="L516" s="9"/>
      <c r="M516" s="10"/>
    </row>
    <row r="517">
      <c r="A517" s="134"/>
      <c r="C517" s="9"/>
      <c r="I517" s="135"/>
      <c r="L517" s="9"/>
      <c r="M517" s="10"/>
    </row>
    <row r="518">
      <c r="A518" s="134"/>
      <c r="C518" s="9"/>
      <c r="I518" s="135"/>
      <c r="L518" s="9"/>
      <c r="M518" s="10"/>
    </row>
    <row r="519">
      <c r="A519" s="134"/>
      <c r="C519" s="9"/>
      <c r="I519" s="135"/>
      <c r="L519" s="9"/>
      <c r="M519" s="10"/>
    </row>
    <row r="520">
      <c r="A520" s="134"/>
      <c r="C520" s="9"/>
      <c r="I520" s="135"/>
      <c r="L520" s="9"/>
      <c r="M520" s="10"/>
    </row>
    <row r="521">
      <c r="A521" s="134"/>
      <c r="C521" s="9"/>
      <c r="I521" s="135"/>
      <c r="L521" s="9"/>
      <c r="M521" s="10"/>
    </row>
    <row r="522">
      <c r="A522" s="134"/>
      <c r="C522" s="9"/>
      <c r="I522" s="135"/>
      <c r="L522" s="9"/>
      <c r="M522" s="10"/>
    </row>
    <row r="523">
      <c r="A523" s="134"/>
      <c r="C523" s="9"/>
      <c r="I523" s="135"/>
      <c r="L523" s="9"/>
      <c r="M523" s="10"/>
    </row>
    <row r="524">
      <c r="A524" s="134"/>
      <c r="C524" s="9"/>
      <c r="I524" s="135"/>
      <c r="L524" s="9"/>
      <c r="M524" s="10"/>
    </row>
    <row r="525">
      <c r="A525" s="134"/>
      <c r="C525" s="9"/>
      <c r="I525" s="135"/>
      <c r="L525" s="9"/>
      <c r="M525" s="10"/>
    </row>
    <row r="526">
      <c r="A526" s="134"/>
      <c r="C526" s="9"/>
      <c r="I526" s="135"/>
      <c r="L526" s="9"/>
      <c r="M526" s="10"/>
    </row>
    <row r="527">
      <c r="A527" s="134"/>
      <c r="C527" s="9"/>
      <c r="I527" s="135"/>
      <c r="L527" s="9"/>
      <c r="M527" s="10"/>
    </row>
    <row r="528">
      <c r="A528" s="134"/>
      <c r="C528" s="9"/>
      <c r="I528" s="135"/>
      <c r="L528" s="9"/>
      <c r="M528" s="10"/>
    </row>
    <row r="529">
      <c r="A529" s="134"/>
      <c r="C529" s="9"/>
      <c r="I529" s="135"/>
      <c r="L529" s="9"/>
      <c r="M529" s="10"/>
    </row>
    <row r="530">
      <c r="A530" s="134"/>
      <c r="C530" s="9"/>
      <c r="I530" s="135"/>
      <c r="L530" s="9"/>
      <c r="M530" s="10"/>
    </row>
    <row r="531">
      <c r="A531" s="134"/>
      <c r="C531" s="9"/>
      <c r="I531" s="135"/>
      <c r="L531" s="9"/>
      <c r="M531" s="10"/>
    </row>
    <row r="532">
      <c r="A532" s="134"/>
      <c r="C532" s="9"/>
      <c r="I532" s="135"/>
      <c r="L532" s="9"/>
      <c r="M532" s="10"/>
    </row>
    <row r="533">
      <c r="A533" s="134"/>
      <c r="C533" s="9"/>
      <c r="I533" s="135"/>
      <c r="L533" s="9"/>
      <c r="M533" s="10"/>
    </row>
    <row r="534">
      <c r="A534" s="134"/>
      <c r="C534" s="9"/>
      <c r="I534" s="135"/>
      <c r="L534" s="9"/>
      <c r="M534" s="10"/>
    </row>
    <row r="535">
      <c r="A535" s="134"/>
      <c r="C535" s="9"/>
      <c r="I535" s="135"/>
      <c r="L535" s="9"/>
      <c r="M535" s="10"/>
    </row>
    <row r="536">
      <c r="A536" s="134"/>
      <c r="C536" s="9"/>
      <c r="I536" s="135"/>
      <c r="L536" s="9"/>
      <c r="M536" s="10"/>
    </row>
    <row r="537">
      <c r="A537" s="134"/>
      <c r="C537" s="9"/>
      <c r="I537" s="135"/>
      <c r="L537" s="9"/>
      <c r="M537" s="10"/>
    </row>
    <row r="538">
      <c r="A538" s="134"/>
      <c r="C538" s="9"/>
      <c r="I538" s="135"/>
      <c r="L538" s="9"/>
      <c r="M538" s="10"/>
    </row>
    <row r="539">
      <c r="A539" s="134"/>
      <c r="C539" s="9"/>
      <c r="I539" s="135"/>
      <c r="L539" s="9"/>
      <c r="M539" s="10"/>
    </row>
    <row r="540">
      <c r="A540" s="134"/>
      <c r="C540" s="9"/>
      <c r="I540" s="135"/>
      <c r="L540" s="9"/>
      <c r="M540" s="10"/>
    </row>
    <row r="541">
      <c r="A541" s="134"/>
      <c r="C541" s="9"/>
      <c r="I541" s="135"/>
      <c r="L541" s="9"/>
      <c r="M541" s="10"/>
    </row>
    <row r="542">
      <c r="A542" s="134"/>
      <c r="C542" s="9"/>
      <c r="I542" s="135"/>
      <c r="L542" s="9"/>
      <c r="M542" s="10"/>
    </row>
    <row r="543">
      <c r="A543" s="134"/>
      <c r="C543" s="9"/>
      <c r="I543" s="135"/>
      <c r="L543" s="9"/>
      <c r="M543" s="10"/>
    </row>
    <row r="544">
      <c r="A544" s="134"/>
      <c r="C544" s="9"/>
      <c r="I544" s="135"/>
      <c r="L544" s="9"/>
      <c r="M544" s="10"/>
    </row>
    <row r="545">
      <c r="A545" s="134"/>
      <c r="C545" s="9"/>
      <c r="I545" s="135"/>
      <c r="L545" s="9"/>
      <c r="M545" s="10"/>
    </row>
    <row r="546">
      <c r="A546" s="134"/>
      <c r="C546" s="9"/>
      <c r="I546" s="135"/>
      <c r="L546" s="9"/>
      <c r="M546" s="10"/>
    </row>
    <row r="547">
      <c r="A547" s="134"/>
      <c r="C547" s="9"/>
      <c r="I547" s="135"/>
      <c r="L547" s="9"/>
      <c r="M547" s="10"/>
    </row>
    <row r="548">
      <c r="A548" s="134"/>
      <c r="C548" s="9"/>
      <c r="I548" s="135"/>
      <c r="L548" s="9"/>
      <c r="M548" s="10"/>
    </row>
    <row r="549">
      <c r="A549" s="134"/>
      <c r="C549" s="9"/>
      <c r="I549" s="135"/>
      <c r="L549" s="9"/>
      <c r="M549" s="10"/>
    </row>
    <row r="550">
      <c r="A550" s="134"/>
      <c r="C550" s="9"/>
      <c r="I550" s="135"/>
      <c r="L550" s="9"/>
      <c r="M550" s="10"/>
    </row>
    <row r="551">
      <c r="A551" s="134"/>
      <c r="C551" s="9"/>
      <c r="I551" s="135"/>
      <c r="L551" s="9"/>
      <c r="M551" s="10"/>
    </row>
    <row r="552">
      <c r="A552" s="134"/>
      <c r="C552" s="9"/>
      <c r="I552" s="135"/>
      <c r="L552" s="9"/>
      <c r="M552" s="10"/>
    </row>
    <row r="553">
      <c r="A553" s="134"/>
      <c r="C553" s="9"/>
      <c r="I553" s="135"/>
      <c r="L553" s="9"/>
      <c r="M553" s="10"/>
    </row>
    <row r="554">
      <c r="A554" s="134"/>
      <c r="C554" s="9"/>
      <c r="I554" s="135"/>
      <c r="L554" s="9"/>
      <c r="M554" s="10"/>
    </row>
    <row r="555">
      <c r="A555" s="134"/>
      <c r="C555" s="9"/>
      <c r="I555" s="135"/>
      <c r="L555" s="9"/>
      <c r="M555" s="10"/>
    </row>
    <row r="556">
      <c r="A556" s="134"/>
      <c r="C556" s="9"/>
      <c r="I556" s="135"/>
      <c r="L556" s="9"/>
      <c r="M556" s="10"/>
    </row>
    <row r="557">
      <c r="A557" s="134"/>
      <c r="C557" s="9"/>
      <c r="I557" s="135"/>
      <c r="L557" s="9"/>
      <c r="M557" s="10"/>
    </row>
    <row r="558">
      <c r="A558" s="134"/>
      <c r="C558" s="9"/>
      <c r="I558" s="135"/>
      <c r="L558" s="9"/>
      <c r="M558" s="10"/>
    </row>
    <row r="559">
      <c r="A559" s="134"/>
      <c r="C559" s="9"/>
      <c r="I559" s="135"/>
      <c r="L559" s="9"/>
      <c r="M559" s="10"/>
    </row>
    <row r="560">
      <c r="A560" s="134"/>
      <c r="C560" s="9"/>
      <c r="I560" s="135"/>
      <c r="L560" s="9"/>
      <c r="M560" s="10"/>
    </row>
    <row r="561">
      <c r="A561" s="134"/>
      <c r="C561" s="9"/>
      <c r="I561" s="135"/>
      <c r="L561" s="9"/>
      <c r="M561" s="10"/>
    </row>
    <row r="562">
      <c r="A562" s="134"/>
      <c r="C562" s="9"/>
      <c r="I562" s="135"/>
      <c r="L562" s="9"/>
      <c r="M562" s="10"/>
    </row>
    <row r="563">
      <c r="A563" s="134"/>
      <c r="C563" s="9"/>
      <c r="I563" s="135"/>
      <c r="L563" s="9"/>
      <c r="M563" s="10"/>
    </row>
    <row r="564">
      <c r="A564" s="134"/>
      <c r="C564" s="9"/>
      <c r="I564" s="135"/>
      <c r="L564" s="9"/>
      <c r="M564" s="10"/>
    </row>
    <row r="565">
      <c r="A565" s="134"/>
      <c r="C565" s="9"/>
      <c r="I565" s="135"/>
      <c r="L565" s="9"/>
      <c r="M565" s="10"/>
    </row>
    <row r="566">
      <c r="A566" s="134"/>
      <c r="C566" s="9"/>
      <c r="I566" s="135"/>
      <c r="L566" s="9"/>
      <c r="M566" s="10"/>
    </row>
    <row r="567">
      <c r="A567" s="134"/>
      <c r="C567" s="9"/>
      <c r="I567" s="135"/>
      <c r="L567" s="9"/>
      <c r="M567" s="10"/>
    </row>
    <row r="568">
      <c r="A568" s="134"/>
      <c r="C568" s="9"/>
      <c r="I568" s="135"/>
      <c r="L568" s="9"/>
      <c r="M568" s="10"/>
    </row>
    <row r="569">
      <c r="A569" s="134"/>
      <c r="C569" s="9"/>
      <c r="I569" s="135"/>
      <c r="L569" s="9"/>
      <c r="M569" s="10"/>
    </row>
    <row r="570">
      <c r="A570" s="134"/>
      <c r="C570" s="9"/>
      <c r="I570" s="135"/>
      <c r="L570" s="9"/>
      <c r="M570" s="10"/>
    </row>
    <row r="571">
      <c r="A571" s="134"/>
      <c r="C571" s="9"/>
      <c r="I571" s="135"/>
      <c r="L571" s="9"/>
      <c r="M571" s="10"/>
    </row>
    <row r="572">
      <c r="A572" s="134"/>
      <c r="C572" s="9"/>
      <c r="I572" s="135"/>
      <c r="L572" s="9"/>
      <c r="M572" s="10"/>
    </row>
    <row r="573">
      <c r="A573" s="134"/>
      <c r="C573" s="9"/>
      <c r="I573" s="135"/>
      <c r="L573" s="9"/>
      <c r="M573" s="10"/>
    </row>
    <row r="574">
      <c r="A574" s="134"/>
      <c r="C574" s="9"/>
      <c r="I574" s="135"/>
      <c r="L574" s="9"/>
      <c r="M574" s="10"/>
    </row>
    <row r="575">
      <c r="A575" s="134"/>
      <c r="C575" s="9"/>
      <c r="I575" s="135"/>
      <c r="L575" s="9"/>
      <c r="M575" s="10"/>
    </row>
    <row r="576">
      <c r="A576" s="134"/>
      <c r="C576" s="9"/>
      <c r="I576" s="135"/>
      <c r="L576" s="9"/>
      <c r="M576" s="10"/>
    </row>
    <row r="577">
      <c r="A577" s="134"/>
      <c r="C577" s="9"/>
      <c r="I577" s="135"/>
      <c r="L577" s="9"/>
      <c r="M577" s="10"/>
    </row>
    <row r="578">
      <c r="A578" s="134"/>
      <c r="C578" s="9"/>
      <c r="I578" s="135"/>
      <c r="L578" s="9"/>
      <c r="M578" s="10"/>
    </row>
    <row r="579">
      <c r="A579" s="134"/>
      <c r="C579" s="9"/>
      <c r="I579" s="135"/>
      <c r="L579" s="9"/>
      <c r="M579" s="10"/>
    </row>
    <row r="580">
      <c r="A580" s="134"/>
      <c r="C580" s="9"/>
      <c r="I580" s="135"/>
      <c r="L580" s="9"/>
      <c r="M580" s="10"/>
    </row>
    <row r="581">
      <c r="A581" s="134"/>
      <c r="C581" s="9"/>
      <c r="I581" s="135"/>
      <c r="L581" s="9"/>
      <c r="M581" s="10"/>
    </row>
    <row r="582">
      <c r="A582" s="134"/>
      <c r="C582" s="9"/>
      <c r="I582" s="135"/>
      <c r="L582" s="9"/>
      <c r="M582" s="10"/>
    </row>
    <row r="583">
      <c r="A583" s="134"/>
      <c r="C583" s="9"/>
      <c r="I583" s="135"/>
      <c r="L583" s="9"/>
      <c r="M583" s="10"/>
    </row>
    <row r="584">
      <c r="A584" s="134"/>
      <c r="C584" s="9"/>
      <c r="I584" s="135"/>
      <c r="L584" s="9"/>
      <c r="M584" s="10"/>
    </row>
    <row r="585">
      <c r="A585" s="134"/>
      <c r="C585" s="9"/>
      <c r="I585" s="135"/>
      <c r="L585" s="9"/>
      <c r="M585" s="10"/>
    </row>
    <row r="586">
      <c r="A586" s="134"/>
      <c r="C586" s="9"/>
      <c r="I586" s="135"/>
      <c r="L586" s="9"/>
      <c r="M586" s="10"/>
    </row>
    <row r="587">
      <c r="A587" s="134"/>
      <c r="C587" s="9"/>
      <c r="I587" s="135"/>
      <c r="L587" s="9"/>
      <c r="M587" s="10"/>
    </row>
    <row r="588">
      <c r="A588" s="134"/>
      <c r="C588" s="9"/>
      <c r="I588" s="135"/>
      <c r="L588" s="9"/>
      <c r="M588" s="10"/>
    </row>
    <row r="589">
      <c r="A589" s="134"/>
      <c r="C589" s="9"/>
      <c r="I589" s="135"/>
      <c r="L589" s="9"/>
      <c r="M589" s="10"/>
    </row>
    <row r="590">
      <c r="A590" s="134"/>
      <c r="C590" s="9"/>
      <c r="I590" s="135"/>
      <c r="L590" s="9"/>
      <c r="M590" s="10"/>
    </row>
    <row r="591">
      <c r="A591" s="134"/>
      <c r="C591" s="9"/>
      <c r="I591" s="135"/>
      <c r="L591" s="9"/>
      <c r="M591" s="10"/>
    </row>
    <row r="592">
      <c r="A592" s="134"/>
      <c r="C592" s="9"/>
      <c r="I592" s="135"/>
      <c r="L592" s="9"/>
      <c r="M592" s="10"/>
    </row>
    <row r="593">
      <c r="A593" s="134"/>
      <c r="C593" s="9"/>
      <c r="I593" s="135"/>
      <c r="L593" s="9"/>
      <c r="M593" s="10"/>
    </row>
    <row r="594">
      <c r="A594" s="134"/>
      <c r="C594" s="9"/>
      <c r="I594" s="135"/>
      <c r="L594" s="9"/>
      <c r="M594" s="10"/>
    </row>
    <row r="595">
      <c r="A595" s="134"/>
      <c r="C595" s="9"/>
      <c r="I595" s="135"/>
      <c r="L595" s="9"/>
      <c r="M595" s="10"/>
    </row>
    <row r="596">
      <c r="A596" s="134"/>
      <c r="C596" s="9"/>
      <c r="I596" s="135"/>
      <c r="L596" s="9"/>
      <c r="M596" s="10"/>
    </row>
    <row r="597">
      <c r="A597" s="134"/>
      <c r="C597" s="9"/>
      <c r="I597" s="135"/>
      <c r="L597" s="9"/>
      <c r="M597" s="10"/>
    </row>
    <row r="598">
      <c r="A598" s="134"/>
      <c r="C598" s="9"/>
      <c r="I598" s="135"/>
      <c r="L598" s="9"/>
      <c r="M598" s="10"/>
    </row>
    <row r="599">
      <c r="A599" s="134"/>
      <c r="C599" s="9"/>
      <c r="I599" s="135"/>
      <c r="L599" s="9"/>
      <c r="M599" s="10"/>
    </row>
    <row r="600">
      <c r="A600" s="134"/>
      <c r="C600" s="9"/>
      <c r="I600" s="135"/>
      <c r="L600" s="9"/>
      <c r="M600" s="10"/>
    </row>
    <row r="601">
      <c r="A601" s="134"/>
      <c r="C601" s="9"/>
      <c r="I601" s="135"/>
      <c r="L601" s="9"/>
      <c r="M601" s="10"/>
    </row>
    <row r="602">
      <c r="A602" s="134"/>
      <c r="C602" s="9"/>
      <c r="I602" s="135"/>
      <c r="L602" s="9"/>
      <c r="M602" s="10"/>
    </row>
    <row r="603">
      <c r="A603" s="134"/>
      <c r="C603" s="9"/>
      <c r="I603" s="135"/>
      <c r="L603" s="9"/>
      <c r="M603" s="10"/>
    </row>
    <row r="604">
      <c r="A604" s="134"/>
      <c r="C604" s="9"/>
      <c r="I604" s="135"/>
      <c r="L604" s="9"/>
      <c r="M604" s="10"/>
    </row>
    <row r="605">
      <c r="A605" s="134"/>
      <c r="C605" s="9"/>
      <c r="I605" s="135"/>
      <c r="L605" s="9"/>
      <c r="M605" s="10"/>
    </row>
    <row r="606">
      <c r="A606" s="134"/>
      <c r="C606" s="9"/>
      <c r="I606" s="135"/>
      <c r="L606" s="9"/>
      <c r="M606" s="10"/>
    </row>
    <row r="607">
      <c r="A607" s="134"/>
      <c r="C607" s="9"/>
      <c r="I607" s="135"/>
      <c r="L607" s="9"/>
      <c r="M607" s="10"/>
    </row>
    <row r="608">
      <c r="A608" s="134"/>
      <c r="C608" s="9"/>
      <c r="I608" s="135"/>
      <c r="L608" s="9"/>
      <c r="M608" s="10"/>
    </row>
    <row r="609">
      <c r="A609" s="134"/>
      <c r="C609" s="9"/>
      <c r="I609" s="135"/>
      <c r="L609" s="9"/>
      <c r="M609" s="10"/>
    </row>
    <row r="610">
      <c r="A610" s="134"/>
      <c r="C610" s="9"/>
      <c r="I610" s="135"/>
      <c r="L610" s="9"/>
      <c r="M610" s="10"/>
    </row>
    <row r="611">
      <c r="A611" s="134"/>
      <c r="C611" s="9"/>
      <c r="I611" s="135"/>
      <c r="L611" s="9"/>
      <c r="M611" s="10"/>
    </row>
    <row r="612">
      <c r="A612" s="134"/>
      <c r="C612" s="9"/>
      <c r="I612" s="135"/>
      <c r="L612" s="9"/>
      <c r="M612" s="10"/>
    </row>
    <row r="613">
      <c r="A613" s="134"/>
      <c r="C613" s="9"/>
      <c r="I613" s="135"/>
      <c r="L613" s="9"/>
      <c r="M613" s="10"/>
    </row>
    <row r="614">
      <c r="A614" s="134"/>
      <c r="C614" s="9"/>
      <c r="I614" s="135"/>
      <c r="L614" s="9"/>
      <c r="M614" s="10"/>
    </row>
    <row r="615">
      <c r="A615" s="134"/>
      <c r="C615" s="9"/>
      <c r="I615" s="135"/>
      <c r="L615" s="9"/>
      <c r="M615" s="10"/>
    </row>
    <row r="616">
      <c r="A616" s="134"/>
      <c r="C616" s="9"/>
      <c r="I616" s="135"/>
      <c r="L616" s="9"/>
      <c r="M616" s="10"/>
    </row>
    <row r="617">
      <c r="A617" s="134"/>
      <c r="C617" s="9"/>
      <c r="I617" s="135"/>
      <c r="L617" s="9"/>
      <c r="M617" s="10"/>
    </row>
    <row r="618">
      <c r="A618" s="134"/>
      <c r="C618" s="9"/>
      <c r="I618" s="135"/>
      <c r="L618" s="9"/>
      <c r="M618" s="10"/>
    </row>
    <row r="619">
      <c r="A619" s="134"/>
      <c r="C619" s="9"/>
      <c r="I619" s="135"/>
      <c r="L619" s="9"/>
      <c r="M619" s="10"/>
    </row>
    <row r="620">
      <c r="A620" s="134"/>
      <c r="C620" s="9"/>
      <c r="I620" s="135"/>
      <c r="L620" s="9"/>
      <c r="M620" s="10"/>
    </row>
    <row r="621">
      <c r="A621" s="134"/>
      <c r="C621" s="9"/>
      <c r="I621" s="135"/>
      <c r="L621" s="9"/>
      <c r="M621" s="10"/>
    </row>
    <row r="622">
      <c r="A622" s="134"/>
      <c r="C622" s="9"/>
      <c r="I622" s="135"/>
      <c r="L622" s="9"/>
      <c r="M622" s="10"/>
    </row>
    <row r="623">
      <c r="A623" s="134"/>
      <c r="C623" s="9"/>
      <c r="I623" s="135"/>
      <c r="L623" s="9"/>
      <c r="M623" s="10"/>
    </row>
    <row r="624">
      <c r="A624" s="134"/>
      <c r="C624" s="9"/>
      <c r="I624" s="135"/>
      <c r="L624" s="9"/>
      <c r="M624" s="10"/>
    </row>
    <row r="625">
      <c r="A625" s="134"/>
      <c r="C625" s="9"/>
      <c r="I625" s="135"/>
      <c r="L625" s="9"/>
      <c r="M625" s="10"/>
    </row>
    <row r="626">
      <c r="A626" s="134"/>
      <c r="C626" s="9"/>
      <c r="I626" s="135"/>
      <c r="L626" s="9"/>
      <c r="M626" s="10"/>
    </row>
    <row r="627">
      <c r="A627" s="134"/>
      <c r="C627" s="9"/>
      <c r="I627" s="135"/>
      <c r="L627" s="9"/>
      <c r="M627" s="10"/>
    </row>
    <row r="628">
      <c r="A628" s="134"/>
      <c r="C628" s="9"/>
      <c r="I628" s="135"/>
      <c r="L628" s="9"/>
      <c r="M628" s="10"/>
    </row>
    <row r="629">
      <c r="A629" s="134"/>
      <c r="C629" s="9"/>
      <c r="I629" s="135"/>
      <c r="L629" s="9"/>
      <c r="M629" s="10"/>
    </row>
    <row r="630">
      <c r="A630" s="134"/>
      <c r="C630" s="9"/>
      <c r="I630" s="135"/>
      <c r="L630" s="9"/>
      <c r="M630" s="10"/>
    </row>
    <row r="631">
      <c r="A631" s="134"/>
      <c r="C631" s="9"/>
      <c r="I631" s="135"/>
      <c r="L631" s="9"/>
      <c r="M631" s="10"/>
    </row>
    <row r="632">
      <c r="A632" s="134"/>
      <c r="C632" s="9"/>
      <c r="I632" s="135"/>
      <c r="L632" s="9"/>
      <c r="M632" s="10"/>
    </row>
    <row r="633">
      <c r="A633" s="134"/>
      <c r="C633" s="9"/>
      <c r="I633" s="135"/>
      <c r="L633" s="9"/>
      <c r="M633" s="10"/>
    </row>
    <row r="634">
      <c r="A634" s="134"/>
      <c r="C634" s="9"/>
      <c r="I634" s="135"/>
      <c r="L634" s="9"/>
      <c r="M634" s="10"/>
    </row>
    <row r="635">
      <c r="A635" s="134"/>
      <c r="C635" s="9"/>
      <c r="I635" s="135"/>
      <c r="L635" s="9"/>
      <c r="M635" s="10"/>
    </row>
    <row r="636">
      <c r="A636" s="134"/>
      <c r="C636" s="9"/>
      <c r="I636" s="135"/>
      <c r="L636" s="9"/>
      <c r="M636" s="10"/>
    </row>
    <row r="637">
      <c r="A637" s="134"/>
      <c r="C637" s="9"/>
      <c r="I637" s="135"/>
      <c r="L637" s="9"/>
      <c r="M637" s="10"/>
    </row>
    <row r="638">
      <c r="A638" s="134"/>
      <c r="C638" s="9"/>
      <c r="I638" s="135"/>
      <c r="L638" s="9"/>
      <c r="M638" s="10"/>
    </row>
    <row r="639">
      <c r="A639" s="134"/>
      <c r="C639" s="9"/>
      <c r="I639" s="135"/>
      <c r="L639" s="9"/>
      <c r="M639" s="10"/>
    </row>
    <row r="640">
      <c r="A640" s="134"/>
      <c r="C640" s="9"/>
      <c r="I640" s="135"/>
      <c r="L640" s="9"/>
      <c r="M640" s="10"/>
    </row>
    <row r="641">
      <c r="A641" s="134"/>
      <c r="C641" s="9"/>
      <c r="I641" s="135"/>
      <c r="L641" s="9"/>
      <c r="M641" s="10"/>
    </row>
    <row r="642">
      <c r="A642" s="134"/>
      <c r="C642" s="9"/>
      <c r="I642" s="135"/>
      <c r="L642" s="9"/>
      <c r="M642" s="10"/>
    </row>
    <row r="643">
      <c r="A643" s="134"/>
      <c r="C643" s="9"/>
      <c r="I643" s="135"/>
      <c r="L643" s="9"/>
      <c r="M643" s="10"/>
    </row>
    <row r="644">
      <c r="A644" s="134"/>
      <c r="C644" s="9"/>
      <c r="I644" s="135"/>
      <c r="L644" s="9"/>
      <c r="M644" s="10"/>
    </row>
    <row r="645">
      <c r="A645" s="134"/>
      <c r="C645" s="9"/>
      <c r="I645" s="135"/>
      <c r="L645" s="9"/>
      <c r="M645" s="10"/>
    </row>
    <row r="646">
      <c r="A646" s="134"/>
      <c r="C646" s="9"/>
      <c r="I646" s="135"/>
      <c r="L646" s="9"/>
      <c r="M646" s="10"/>
    </row>
    <row r="647">
      <c r="A647" s="134"/>
      <c r="C647" s="9"/>
      <c r="I647" s="135"/>
      <c r="L647" s="9"/>
      <c r="M647" s="10"/>
    </row>
    <row r="648">
      <c r="A648" s="134"/>
      <c r="C648" s="9"/>
      <c r="I648" s="135"/>
      <c r="L648" s="9"/>
      <c r="M648" s="10"/>
    </row>
    <row r="649">
      <c r="A649" s="134"/>
      <c r="C649" s="9"/>
      <c r="I649" s="135"/>
      <c r="L649" s="9"/>
      <c r="M649" s="10"/>
    </row>
    <row r="650">
      <c r="A650" s="134"/>
      <c r="C650" s="9"/>
      <c r="I650" s="135"/>
      <c r="L650" s="9"/>
      <c r="M650" s="10"/>
    </row>
    <row r="651">
      <c r="A651" s="134"/>
      <c r="C651" s="9"/>
      <c r="I651" s="135"/>
      <c r="L651" s="9"/>
      <c r="M651" s="10"/>
    </row>
    <row r="652">
      <c r="A652" s="134"/>
      <c r="C652" s="9"/>
      <c r="I652" s="135"/>
      <c r="L652" s="9"/>
      <c r="M652" s="10"/>
    </row>
    <row r="653">
      <c r="A653" s="134"/>
      <c r="C653" s="9"/>
      <c r="I653" s="135"/>
      <c r="L653" s="9"/>
      <c r="M653" s="10"/>
    </row>
    <row r="654">
      <c r="A654" s="134"/>
      <c r="C654" s="9"/>
      <c r="I654" s="135"/>
      <c r="L654" s="9"/>
      <c r="M654" s="10"/>
    </row>
    <row r="655">
      <c r="A655" s="134"/>
      <c r="C655" s="9"/>
      <c r="I655" s="135"/>
      <c r="L655" s="9"/>
      <c r="M655" s="10"/>
    </row>
    <row r="656">
      <c r="A656" s="134"/>
      <c r="C656" s="9"/>
      <c r="I656" s="135"/>
      <c r="L656" s="9"/>
      <c r="M656" s="10"/>
    </row>
    <row r="657">
      <c r="A657" s="134"/>
      <c r="C657" s="9"/>
      <c r="I657" s="135"/>
      <c r="L657" s="9"/>
      <c r="M657" s="10"/>
    </row>
    <row r="658">
      <c r="A658" s="134"/>
      <c r="C658" s="9"/>
      <c r="I658" s="135"/>
      <c r="L658" s="9"/>
      <c r="M658" s="10"/>
    </row>
    <row r="659">
      <c r="A659" s="134"/>
      <c r="C659" s="9"/>
      <c r="I659" s="135"/>
      <c r="L659" s="9"/>
      <c r="M659" s="10"/>
    </row>
    <row r="660">
      <c r="A660" s="134"/>
      <c r="C660" s="9"/>
      <c r="I660" s="135"/>
      <c r="L660" s="9"/>
      <c r="M660" s="10"/>
    </row>
    <row r="661">
      <c r="A661" s="134"/>
      <c r="C661" s="9"/>
      <c r="I661" s="135"/>
      <c r="L661" s="9"/>
      <c r="M661" s="10"/>
    </row>
    <row r="662">
      <c r="A662" s="134"/>
      <c r="C662" s="9"/>
      <c r="I662" s="135"/>
      <c r="L662" s="9"/>
      <c r="M662" s="10"/>
    </row>
    <row r="663">
      <c r="A663" s="134"/>
      <c r="C663" s="9"/>
      <c r="I663" s="135"/>
      <c r="L663" s="9"/>
      <c r="M663" s="10"/>
    </row>
    <row r="664">
      <c r="A664" s="134"/>
      <c r="C664" s="9"/>
      <c r="I664" s="135"/>
      <c r="L664" s="9"/>
      <c r="M664" s="10"/>
    </row>
    <row r="665">
      <c r="A665" s="134"/>
      <c r="C665" s="9"/>
      <c r="I665" s="135"/>
      <c r="L665" s="9"/>
      <c r="M665" s="10"/>
    </row>
    <row r="666">
      <c r="A666" s="134"/>
      <c r="C666" s="9"/>
      <c r="I666" s="135"/>
      <c r="L666" s="9"/>
      <c r="M666" s="10"/>
    </row>
    <row r="667">
      <c r="A667" s="134"/>
      <c r="C667" s="9"/>
      <c r="I667" s="135"/>
      <c r="L667" s="9"/>
      <c r="M667" s="10"/>
    </row>
    <row r="668">
      <c r="A668" s="134"/>
      <c r="C668" s="9"/>
      <c r="I668" s="135"/>
      <c r="L668" s="9"/>
      <c r="M668" s="10"/>
    </row>
    <row r="669">
      <c r="A669" s="134"/>
      <c r="C669" s="9"/>
      <c r="I669" s="135"/>
      <c r="L669" s="9"/>
      <c r="M669" s="10"/>
    </row>
    <row r="670">
      <c r="A670" s="134"/>
      <c r="C670" s="9"/>
      <c r="I670" s="135"/>
      <c r="L670" s="9"/>
      <c r="M670" s="10"/>
    </row>
    <row r="671">
      <c r="A671" s="134"/>
      <c r="C671" s="9"/>
      <c r="I671" s="135"/>
      <c r="L671" s="9"/>
      <c r="M671" s="10"/>
    </row>
    <row r="672">
      <c r="A672" s="134"/>
      <c r="C672" s="9"/>
      <c r="I672" s="135"/>
      <c r="L672" s="9"/>
      <c r="M672" s="10"/>
    </row>
    <row r="673">
      <c r="A673" s="134"/>
      <c r="C673" s="9"/>
      <c r="I673" s="135"/>
      <c r="L673" s="9"/>
      <c r="M673" s="10"/>
    </row>
    <row r="674">
      <c r="A674" s="134"/>
      <c r="C674" s="9"/>
      <c r="I674" s="135"/>
      <c r="L674" s="9"/>
      <c r="M674" s="10"/>
    </row>
    <row r="675">
      <c r="A675" s="134"/>
      <c r="C675" s="9"/>
      <c r="I675" s="135"/>
      <c r="L675" s="9"/>
      <c r="M675" s="10"/>
    </row>
    <row r="676">
      <c r="A676" s="134"/>
      <c r="C676" s="9"/>
      <c r="I676" s="135"/>
      <c r="L676" s="9"/>
      <c r="M676" s="10"/>
    </row>
    <row r="677">
      <c r="A677" s="134"/>
      <c r="C677" s="9"/>
      <c r="I677" s="135"/>
      <c r="L677" s="9"/>
      <c r="M677" s="10"/>
    </row>
    <row r="678">
      <c r="A678" s="134"/>
      <c r="C678" s="9"/>
      <c r="I678" s="135"/>
      <c r="L678" s="9"/>
      <c r="M678" s="10"/>
    </row>
    <row r="679">
      <c r="A679" s="134"/>
      <c r="C679" s="9"/>
      <c r="I679" s="135"/>
      <c r="L679" s="9"/>
      <c r="M679" s="10"/>
    </row>
    <row r="680">
      <c r="A680" s="134"/>
      <c r="C680" s="9"/>
      <c r="I680" s="135"/>
      <c r="L680" s="9"/>
      <c r="M680" s="10"/>
    </row>
    <row r="681">
      <c r="A681" s="134"/>
      <c r="C681" s="9"/>
      <c r="I681" s="135"/>
      <c r="L681" s="9"/>
      <c r="M681" s="10"/>
    </row>
    <row r="682">
      <c r="A682" s="134"/>
      <c r="C682" s="9"/>
      <c r="I682" s="135"/>
      <c r="L682" s="9"/>
      <c r="M682" s="10"/>
    </row>
    <row r="683">
      <c r="A683" s="134"/>
      <c r="C683" s="9"/>
      <c r="I683" s="135"/>
      <c r="L683" s="9"/>
      <c r="M683" s="10"/>
    </row>
    <row r="684">
      <c r="A684" s="134"/>
      <c r="C684" s="9"/>
      <c r="I684" s="135"/>
      <c r="L684" s="9"/>
      <c r="M684" s="10"/>
    </row>
    <row r="685">
      <c r="A685" s="134"/>
      <c r="C685" s="9"/>
      <c r="I685" s="135"/>
      <c r="L685" s="9"/>
      <c r="M685" s="10"/>
    </row>
    <row r="686">
      <c r="A686" s="134"/>
      <c r="C686" s="9"/>
      <c r="I686" s="135"/>
      <c r="L686" s="9"/>
      <c r="M686" s="10"/>
    </row>
    <row r="687">
      <c r="A687" s="134"/>
      <c r="C687" s="9"/>
      <c r="I687" s="135"/>
      <c r="L687" s="9"/>
      <c r="M687" s="10"/>
    </row>
    <row r="688">
      <c r="A688" s="134"/>
      <c r="C688" s="9"/>
      <c r="I688" s="135"/>
      <c r="L688" s="9"/>
      <c r="M688" s="10"/>
    </row>
    <row r="689">
      <c r="A689" s="134"/>
      <c r="C689" s="9"/>
      <c r="I689" s="135"/>
      <c r="L689" s="9"/>
      <c r="M689" s="10"/>
    </row>
    <row r="690">
      <c r="A690" s="134"/>
      <c r="C690" s="9"/>
      <c r="I690" s="135"/>
      <c r="L690" s="9"/>
      <c r="M690" s="10"/>
    </row>
    <row r="691">
      <c r="A691" s="134"/>
      <c r="C691" s="9"/>
      <c r="I691" s="135"/>
      <c r="L691" s="9"/>
      <c r="M691" s="10"/>
    </row>
    <row r="692">
      <c r="A692" s="134"/>
      <c r="C692" s="9"/>
      <c r="I692" s="135"/>
      <c r="L692" s="9"/>
      <c r="M692" s="10"/>
    </row>
    <row r="693">
      <c r="A693" s="134"/>
      <c r="C693" s="9"/>
      <c r="I693" s="135"/>
      <c r="L693" s="9"/>
      <c r="M693" s="10"/>
    </row>
    <row r="694">
      <c r="A694" s="134"/>
      <c r="C694" s="9"/>
      <c r="I694" s="135"/>
      <c r="L694" s="9"/>
      <c r="M694" s="10"/>
    </row>
    <row r="695">
      <c r="A695" s="134"/>
      <c r="C695" s="9"/>
      <c r="I695" s="135"/>
      <c r="L695" s="9"/>
      <c r="M695" s="10"/>
    </row>
    <row r="696">
      <c r="A696" s="134"/>
      <c r="C696" s="9"/>
      <c r="I696" s="135"/>
      <c r="L696" s="9"/>
      <c r="M696" s="10"/>
    </row>
    <row r="697">
      <c r="A697" s="134"/>
      <c r="C697" s="9"/>
      <c r="I697" s="135"/>
      <c r="L697" s="9"/>
      <c r="M697" s="10"/>
    </row>
    <row r="698">
      <c r="A698" s="134"/>
      <c r="C698" s="9"/>
      <c r="I698" s="135"/>
      <c r="L698" s="9"/>
      <c r="M698" s="10"/>
    </row>
    <row r="699">
      <c r="A699" s="134"/>
      <c r="C699" s="9"/>
      <c r="I699" s="135"/>
      <c r="L699" s="9"/>
      <c r="M699" s="10"/>
    </row>
    <row r="700">
      <c r="A700" s="134"/>
      <c r="C700" s="9"/>
      <c r="I700" s="135"/>
      <c r="L700" s="9"/>
      <c r="M700" s="10"/>
    </row>
    <row r="701">
      <c r="A701" s="134"/>
      <c r="C701" s="9"/>
      <c r="I701" s="135"/>
      <c r="L701" s="9"/>
      <c r="M701" s="10"/>
    </row>
    <row r="702">
      <c r="A702" s="134"/>
      <c r="C702" s="9"/>
      <c r="I702" s="135"/>
      <c r="L702" s="9"/>
      <c r="M702" s="10"/>
    </row>
    <row r="703">
      <c r="A703" s="134"/>
      <c r="C703" s="9"/>
      <c r="I703" s="135"/>
      <c r="L703" s="9"/>
      <c r="M703" s="10"/>
    </row>
    <row r="704">
      <c r="A704" s="134"/>
      <c r="C704" s="9"/>
      <c r="I704" s="135"/>
      <c r="L704" s="9"/>
      <c r="M704" s="10"/>
    </row>
    <row r="705">
      <c r="A705" s="134"/>
      <c r="C705" s="9"/>
      <c r="I705" s="135"/>
      <c r="L705" s="9"/>
      <c r="M705" s="10"/>
    </row>
    <row r="706">
      <c r="A706" s="134"/>
      <c r="C706" s="9"/>
      <c r="I706" s="135"/>
      <c r="L706" s="9"/>
      <c r="M706" s="10"/>
    </row>
    <row r="707">
      <c r="A707" s="134"/>
      <c r="C707" s="9"/>
      <c r="I707" s="135"/>
      <c r="L707" s="9"/>
      <c r="M707" s="10"/>
    </row>
    <row r="708">
      <c r="A708" s="134"/>
      <c r="C708" s="9"/>
      <c r="I708" s="135"/>
      <c r="L708" s="9"/>
      <c r="M708" s="10"/>
    </row>
    <row r="709">
      <c r="A709" s="134"/>
      <c r="C709" s="9"/>
      <c r="I709" s="135"/>
      <c r="L709" s="9"/>
      <c r="M709" s="10"/>
    </row>
    <row r="710">
      <c r="A710" s="134"/>
      <c r="C710" s="9"/>
      <c r="I710" s="135"/>
      <c r="L710" s="9"/>
      <c r="M710" s="10"/>
    </row>
    <row r="711">
      <c r="A711" s="134"/>
      <c r="C711" s="9"/>
      <c r="I711" s="135"/>
      <c r="L711" s="9"/>
      <c r="M711" s="10"/>
    </row>
    <row r="712">
      <c r="A712" s="134"/>
      <c r="C712" s="9"/>
      <c r="I712" s="135"/>
      <c r="L712" s="9"/>
      <c r="M712" s="10"/>
    </row>
    <row r="713">
      <c r="A713" s="134"/>
      <c r="C713" s="9"/>
      <c r="I713" s="135"/>
      <c r="L713" s="9"/>
      <c r="M713" s="10"/>
    </row>
    <row r="714">
      <c r="A714" s="134"/>
      <c r="C714" s="9"/>
      <c r="I714" s="135"/>
      <c r="L714" s="9"/>
      <c r="M714" s="10"/>
    </row>
    <row r="715">
      <c r="A715" s="134"/>
      <c r="C715" s="9"/>
      <c r="I715" s="135"/>
      <c r="L715" s="9"/>
      <c r="M715" s="10"/>
    </row>
    <row r="716">
      <c r="A716" s="134"/>
      <c r="C716" s="9"/>
      <c r="I716" s="135"/>
      <c r="L716" s="9"/>
      <c r="M716" s="10"/>
    </row>
    <row r="717">
      <c r="A717" s="134"/>
      <c r="C717" s="9"/>
      <c r="I717" s="135"/>
      <c r="L717" s="9"/>
      <c r="M717" s="10"/>
    </row>
    <row r="718">
      <c r="A718" s="134"/>
      <c r="C718" s="9"/>
      <c r="I718" s="135"/>
      <c r="L718" s="9"/>
      <c r="M718" s="10"/>
    </row>
    <row r="719">
      <c r="A719" s="134"/>
      <c r="C719" s="9"/>
      <c r="I719" s="135"/>
      <c r="L719" s="9"/>
      <c r="M719" s="10"/>
    </row>
    <row r="720">
      <c r="A720" s="134"/>
      <c r="C720" s="9"/>
      <c r="I720" s="135"/>
      <c r="L720" s="9"/>
      <c r="M720" s="10"/>
    </row>
    <row r="721">
      <c r="A721" s="134"/>
      <c r="C721" s="9"/>
      <c r="I721" s="135"/>
      <c r="L721" s="9"/>
      <c r="M721" s="10"/>
    </row>
    <row r="722">
      <c r="A722" s="134"/>
      <c r="C722" s="9"/>
      <c r="I722" s="135"/>
      <c r="L722" s="9"/>
      <c r="M722" s="10"/>
    </row>
    <row r="723">
      <c r="A723" s="134"/>
      <c r="C723" s="9"/>
      <c r="I723" s="135"/>
      <c r="L723" s="9"/>
      <c r="M723" s="10"/>
    </row>
    <row r="724">
      <c r="A724" s="134"/>
      <c r="C724" s="9"/>
      <c r="I724" s="135"/>
      <c r="L724" s="9"/>
      <c r="M724" s="10"/>
    </row>
    <row r="725">
      <c r="A725" s="134"/>
      <c r="C725" s="9"/>
      <c r="I725" s="135"/>
      <c r="L725" s="9"/>
      <c r="M725" s="10"/>
    </row>
    <row r="726">
      <c r="A726" s="134"/>
      <c r="C726" s="9"/>
      <c r="I726" s="135"/>
      <c r="L726" s="9"/>
      <c r="M726" s="10"/>
    </row>
    <row r="727">
      <c r="A727" s="134"/>
      <c r="C727" s="9"/>
      <c r="I727" s="135"/>
      <c r="L727" s="9"/>
      <c r="M727" s="10"/>
    </row>
    <row r="728">
      <c r="A728" s="134"/>
      <c r="C728" s="9"/>
      <c r="I728" s="135"/>
      <c r="L728" s="9"/>
      <c r="M728" s="10"/>
    </row>
    <row r="729">
      <c r="A729" s="134"/>
      <c r="C729" s="9"/>
      <c r="I729" s="135"/>
      <c r="L729" s="9"/>
      <c r="M729" s="10"/>
    </row>
    <row r="730">
      <c r="A730" s="134"/>
      <c r="C730" s="9"/>
      <c r="I730" s="135"/>
      <c r="L730" s="9"/>
      <c r="M730" s="10"/>
    </row>
    <row r="731">
      <c r="A731" s="134"/>
      <c r="C731" s="9"/>
      <c r="I731" s="135"/>
      <c r="L731" s="9"/>
      <c r="M731" s="10"/>
    </row>
    <row r="732">
      <c r="A732" s="134"/>
      <c r="C732" s="9"/>
      <c r="I732" s="135"/>
      <c r="L732" s="9"/>
      <c r="M732" s="10"/>
    </row>
    <row r="733">
      <c r="A733" s="134"/>
      <c r="C733" s="9"/>
      <c r="I733" s="135"/>
      <c r="L733" s="9"/>
      <c r="M733" s="10"/>
    </row>
    <row r="734">
      <c r="A734" s="134"/>
      <c r="C734" s="9"/>
      <c r="I734" s="135"/>
      <c r="L734" s="9"/>
      <c r="M734" s="10"/>
    </row>
    <row r="735">
      <c r="A735" s="134"/>
      <c r="C735" s="9"/>
      <c r="I735" s="135"/>
      <c r="L735" s="9"/>
      <c r="M735" s="10"/>
    </row>
    <row r="736">
      <c r="A736" s="134"/>
      <c r="C736" s="9"/>
      <c r="I736" s="135"/>
      <c r="L736" s="9"/>
      <c r="M736" s="10"/>
    </row>
    <row r="737">
      <c r="A737" s="134"/>
      <c r="C737" s="9"/>
      <c r="I737" s="135"/>
      <c r="L737" s="9"/>
      <c r="M737" s="10"/>
    </row>
    <row r="738">
      <c r="A738" s="134"/>
      <c r="C738" s="9"/>
      <c r="I738" s="135"/>
      <c r="L738" s="9"/>
      <c r="M738" s="10"/>
    </row>
    <row r="739">
      <c r="A739" s="134"/>
      <c r="C739" s="9"/>
      <c r="I739" s="135"/>
      <c r="L739" s="9"/>
      <c r="M739" s="10"/>
    </row>
    <row r="740">
      <c r="A740" s="134"/>
      <c r="C740" s="9"/>
      <c r="I740" s="135"/>
      <c r="L740" s="9"/>
      <c r="M740" s="10"/>
    </row>
    <row r="741">
      <c r="A741" s="134"/>
      <c r="C741" s="9"/>
      <c r="I741" s="135"/>
      <c r="L741" s="9"/>
      <c r="M741" s="10"/>
    </row>
    <row r="742">
      <c r="A742" s="134"/>
      <c r="C742" s="9"/>
      <c r="I742" s="135"/>
      <c r="L742" s="9"/>
      <c r="M742" s="10"/>
    </row>
    <row r="743">
      <c r="A743" s="134"/>
      <c r="C743" s="9"/>
      <c r="I743" s="135"/>
      <c r="L743" s="9"/>
      <c r="M743" s="10"/>
    </row>
    <row r="744">
      <c r="A744" s="134"/>
      <c r="C744" s="9"/>
      <c r="I744" s="135"/>
      <c r="L744" s="9"/>
      <c r="M744" s="10"/>
    </row>
    <row r="745">
      <c r="A745" s="134"/>
      <c r="C745" s="9"/>
      <c r="I745" s="135"/>
      <c r="L745" s="9"/>
      <c r="M745" s="10"/>
    </row>
    <row r="746">
      <c r="A746" s="134"/>
      <c r="C746" s="9"/>
      <c r="I746" s="135"/>
      <c r="L746" s="9"/>
      <c r="M746" s="10"/>
    </row>
    <row r="747">
      <c r="A747" s="134"/>
      <c r="C747" s="9"/>
      <c r="I747" s="135"/>
      <c r="L747" s="9"/>
      <c r="M747" s="10"/>
    </row>
    <row r="748">
      <c r="A748" s="134"/>
      <c r="C748" s="9"/>
      <c r="I748" s="135"/>
      <c r="L748" s="9"/>
      <c r="M748" s="10"/>
    </row>
    <row r="749">
      <c r="A749" s="134"/>
      <c r="C749" s="9"/>
      <c r="I749" s="135"/>
      <c r="L749" s="9"/>
      <c r="M749" s="10"/>
    </row>
    <row r="750">
      <c r="A750" s="134"/>
      <c r="C750" s="9"/>
      <c r="I750" s="135"/>
      <c r="L750" s="9"/>
      <c r="M750" s="10"/>
    </row>
    <row r="751">
      <c r="A751" s="134"/>
      <c r="C751" s="9"/>
      <c r="I751" s="135"/>
      <c r="L751" s="9"/>
      <c r="M751" s="10"/>
    </row>
    <row r="752">
      <c r="A752" s="134"/>
      <c r="C752" s="9"/>
      <c r="I752" s="135"/>
      <c r="L752" s="9"/>
      <c r="M752" s="10"/>
    </row>
    <row r="753">
      <c r="A753" s="134"/>
      <c r="C753" s="9"/>
      <c r="I753" s="135"/>
      <c r="L753" s="9"/>
      <c r="M753" s="10"/>
    </row>
    <row r="754">
      <c r="A754" s="134"/>
      <c r="C754" s="9"/>
      <c r="I754" s="135"/>
      <c r="L754" s="9"/>
      <c r="M754" s="10"/>
    </row>
    <row r="755">
      <c r="A755" s="134"/>
      <c r="C755" s="9"/>
      <c r="I755" s="135"/>
      <c r="L755" s="9"/>
      <c r="M755" s="10"/>
    </row>
    <row r="756">
      <c r="A756" s="134"/>
      <c r="C756" s="9"/>
      <c r="I756" s="135"/>
      <c r="L756" s="9"/>
      <c r="M756" s="10"/>
    </row>
    <row r="757">
      <c r="A757" s="134"/>
      <c r="C757" s="9"/>
      <c r="I757" s="135"/>
      <c r="L757" s="9"/>
      <c r="M757" s="10"/>
    </row>
    <row r="758">
      <c r="A758" s="134"/>
      <c r="C758" s="9"/>
      <c r="I758" s="135"/>
      <c r="L758" s="9"/>
      <c r="M758" s="10"/>
    </row>
    <row r="759">
      <c r="A759" s="134"/>
      <c r="C759" s="9"/>
      <c r="I759" s="135"/>
      <c r="L759" s="9"/>
      <c r="M759" s="10"/>
    </row>
    <row r="760">
      <c r="A760" s="134"/>
      <c r="C760" s="9"/>
      <c r="I760" s="135"/>
      <c r="L760" s="9"/>
      <c r="M760" s="10"/>
    </row>
    <row r="761">
      <c r="A761" s="134"/>
      <c r="C761" s="9"/>
      <c r="I761" s="135"/>
      <c r="L761" s="9"/>
      <c r="M761" s="10"/>
    </row>
    <row r="762">
      <c r="A762" s="134"/>
      <c r="C762" s="9"/>
      <c r="I762" s="135"/>
      <c r="L762" s="9"/>
      <c r="M762" s="10"/>
    </row>
    <row r="763">
      <c r="A763" s="134"/>
      <c r="C763" s="9"/>
      <c r="I763" s="135"/>
      <c r="L763" s="9"/>
      <c r="M763" s="10"/>
    </row>
    <row r="764">
      <c r="A764" s="134"/>
      <c r="C764" s="9"/>
      <c r="I764" s="135"/>
      <c r="L764" s="9"/>
      <c r="M764" s="10"/>
    </row>
    <row r="765">
      <c r="A765" s="134"/>
      <c r="C765" s="9"/>
      <c r="I765" s="135"/>
      <c r="L765" s="9"/>
      <c r="M765" s="10"/>
    </row>
    <row r="766">
      <c r="A766" s="134"/>
      <c r="C766" s="9"/>
      <c r="I766" s="135"/>
      <c r="L766" s="9"/>
      <c r="M766" s="10"/>
    </row>
    <row r="767">
      <c r="A767" s="134"/>
      <c r="C767" s="9"/>
      <c r="I767" s="135"/>
      <c r="L767" s="9"/>
      <c r="M767" s="10"/>
    </row>
    <row r="768">
      <c r="A768" s="134"/>
      <c r="C768" s="9"/>
      <c r="I768" s="135"/>
      <c r="L768" s="9"/>
      <c r="M768" s="10"/>
    </row>
    <row r="769">
      <c r="A769" s="134"/>
      <c r="C769" s="9"/>
      <c r="I769" s="135"/>
      <c r="L769" s="9"/>
      <c r="M769" s="10"/>
    </row>
    <row r="770">
      <c r="A770" s="134"/>
      <c r="C770" s="9"/>
      <c r="I770" s="135"/>
      <c r="L770" s="9"/>
      <c r="M770" s="10"/>
    </row>
    <row r="771">
      <c r="A771" s="134"/>
      <c r="C771" s="9"/>
      <c r="I771" s="135"/>
      <c r="L771" s="9"/>
      <c r="M771" s="10"/>
    </row>
    <row r="772">
      <c r="A772" s="134"/>
      <c r="C772" s="9"/>
      <c r="I772" s="135"/>
      <c r="L772" s="9"/>
      <c r="M772" s="10"/>
    </row>
    <row r="773">
      <c r="A773" s="134"/>
      <c r="C773" s="9"/>
      <c r="I773" s="135"/>
      <c r="L773" s="9"/>
      <c r="M773" s="10"/>
    </row>
    <row r="774">
      <c r="A774" s="134"/>
      <c r="C774" s="9"/>
      <c r="I774" s="135"/>
      <c r="L774" s="9"/>
      <c r="M774" s="10"/>
    </row>
    <row r="775">
      <c r="A775" s="134"/>
      <c r="C775" s="9"/>
      <c r="I775" s="135"/>
      <c r="L775" s="9"/>
      <c r="M775" s="10"/>
    </row>
    <row r="776">
      <c r="A776" s="134"/>
      <c r="C776" s="9"/>
      <c r="I776" s="135"/>
      <c r="L776" s="9"/>
      <c r="M776" s="10"/>
    </row>
    <row r="777">
      <c r="A777" s="134"/>
      <c r="C777" s="9"/>
      <c r="I777" s="135"/>
      <c r="L777" s="9"/>
      <c r="M777" s="10"/>
    </row>
    <row r="778">
      <c r="A778" s="134"/>
      <c r="C778" s="9"/>
      <c r="I778" s="135"/>
      <c r="L778" s="9"/>
      <c r="M778" s="10"/>
    </row>
    <row r="779">
      <c r="A779" s="134"/>
      <c r="C779" s="9"/>
      <c r="I779" s="135"/>
      <c r="L779" s="9"/>
      <c r="M779" s="10"/>
    </row>
    <row r="780">
      <c r="A780" s="134"/>
      <c r="C780" s="9"/>
      <c r="I780" s="135"/>
      <c r="L780" s="9"/>
      <c r="M780" s="10"/>
    </row>
    <row r="781">
      <c r="A781" s="134"/>
      <c r="C781" s="9"/>
      <c r="I781" s="135"/>
      <c r="L781" s="9"/>
      <c r="M781" s="10"/>
    </row>
    <row r="782">
      <c r="A782" s="134"/>
      <c r="C782" s="9"/>
      <c r="I782" s="135"/>
      <c r="L782" s="9"/>
      <c r="M782" s="10"/>
    </row>
    <row r="783">
      <c r="A783" s="134"/>
      <c r="C783" s="9"/>
      <c r="I783" s="135"/>
      <c r="L783" s="9"/>
      <c r="M783" s="10"/>
    </row>
    <row r="784">
      <c r="A784" s="134"/>
      <c r="C784" s="9"/>
      <c r="I784" s="135"/>
      <c r="L784" s="9"/>
      <c r="M784" s="10"/>
    </row>
    <row r="785">
      <c r="A785" s="134"/>
      <c r="C785" s="9"/>
      <c r="I785" s="135"/>
      <c r="L785" s="9"/>
      <c r="M785" s="10"/>
    </row>
    <row r="786">
      <c r="A786" s="134"/>
      <c r="C786" s="9"/>
      <c r="I786" s="135"/>
      <c r="L786" s="9"/>
      <c r="M786" s="10"/>
    </row>
    <row r="787">
      <c r="A787" s="134"/>
      <c r="C787" s="9"/>
      <c r="I787" s="135"/>
      <c r="L787" s="9"/>
      <c r="M787" s="10"/>
    </row>
    <row r="788">
      <c r="A788" s="134"/>
      <c r="C788" s="9"/>
      <c r="I788" s="135"/>
      <c r="L788" s="9"/>
      <c r="M788" s="10"/>
    </row>
    <row r="789">
      <c r="A789" s="134"/>
      <c r="C789" s="9"/>
      <c r="I789" s="135"/>
      <c r="L789" s="9"/>
      <c r="M789" s="10"/>
    </row>
    <row r="790">
      <c r="A790" s="134"/>
      <c r="C790" s="9"/>
      <c r="I790" s="135"/>
      <c r="L790" s="9"/>
      <c r="M790" s="10"/>
    </row>
    <row r="791">
      <c r="A791" s="134"/>
      <c r="C791" s="9"/>
      <c r="I791" s="135"/>
      <c r="L791" s="9"/>
      <c r="M791" s="10"/>
    </row>
    <row r="792">
      <c r="A792" s="134"/>
      <c r="C792" s="9"/>
      <c r="I792" s="135"/>
      <c r="L792" s="9"/>
      <c r="M792" s="10"/>
    </row>
    <row r="793">
      <c r="A793" s="134"/>
      <c r="C793" s="9"/>
      <c r="I793" s="135"/>
      <c r="L793" s="9"/>
      <c r="M793" s="10"/>
    </row>
    <row r="794">
      <c r="A794" s="134"/>
      <c r="C794" s="9"/>
      <c r="I794" s="135"/>
      <c r="L794" s="9"/>
      <c r="M794" s="10"/>
    </row>
    <row r="795">
      <c r="A795" s="134"/>
      <c r="C795" s="9"/>
      <c r="I795" s="135"/>
      <c r="L795" s="9"/>
      <c r="M795" s="10"/>
    </row>
    <row r="796">
      <c r="A796" s="134"/>
      <c r="C796" s="9"/>
      <c r="I796" s="135"/>
      <c r="L796" s="9"/>
      <c r="M796" s="10"/>
    </row>
    <row r="797">
      <c r="A797" s="134"/>
      <c r="C797" s="9"/>
      <c r="I797" s="135"/>
      <c r="L797" s="9"/>
      <c r="M797" s="10"/>
    </row>
    <row r="798">
      <c r="A798" s="134"/>
      <c r="C798" s="9"/>
      <c r="I798" s="135"/>
      <c r="L798" s="9"/>
      <c r="M798" s="10"/>
    </row>
    <row r="799">
      <c r="A799" s="134"/>
      <c r="C799" s="9"/>
      <c r="I799" s="135"/>
      <c r="L799" s="9"/>
      <c r="M799" s="10"/>
    </row>
    <row r="800">
      <c r="A800" s="134"/>
      <c r="C800" s="9"/>
      <c r="I800" s="135"/>
      <c r="L800" s="9"/>
      <c r="M800" s="10"/>
    </row>
    <row r="801">
      <c r="A801" s="134"/>
      <c r="C801" s="9"/>
      <c r="I801" s="135"/>
      <c r="L801" s="9"/>
      <c r="M801" s="10"/>
    </row>
    <row r="802">
      <c r="A802" s="134"/>
      <c r="C802" s="9"/>
      <c r="I802" s="135"/>
      <c r="L802" s="9"/>
      <c r="M802" s="10"/>
    </row>
    <row r="803">
      <c r="A803" s="134"/>
      <c r="C803" s="9"/>
      <c r="I803" s="135"/>
      <c r="L803" s="9"/>
      <c r="M803" s="10"/>
    </row>
    <row r="804">
      <c r="A804" s="134"/>
      <c r="C804" s="9"/>
      <c r="I804" s="135"/>
      <c r="L804" s="9"/>
      <c r="M804" s="10"/>
    </row>
    <row r="805">
      <c r="A805" s="134"/>
      <c r="C805" s="9"/>
      <c r="I805" s="135"/>
      <c r="L805" s="9"/>
      <c r="M805" s="10"/>
    </row>
    <row r="806">
      <c r="A806" s="134"/>
      <c r="C806" s="9"/>
      <c r="I806" s="135"/>
      <c r="L806" s="9"/>
      <c r="M806" s="10"/>
    </row>
    <row r="807">
      <c r="A807" s="134"/>
      <c r="C807" s="9"/>
      <c r="I807" s="135"/>
      <c r="L807" s="9"/>
      <c r="M807" s="10"/>
    </row>
    <row r="808">
      <c r="A808" s="134"/>
      <c r="C808" s="9"/>
      <c r="I808" s="135"/>
      <c r="L808" s="9"/>
      <c r="M808" s="10"/>
    </row>
    <row r="809">
      <c r="A809" s="134"/>
      <c r="C809" s="9"/>
      <c r="I809" s="135"/>
      <c r="L809" s="9"/>
      <c r="M809" s="10"/>
    </row>
    <row r="810">
      <c r="A810" s="134"/>
      <c r="C810" s="9"/>
      <c r="I810" s="135"/>
      <c r="L810" s="9"/>
      <c r="M810" s="10"/>
    </row>
    <row r="811">
      <c r="A811" s="134"/>
      <c r="C811" s="9"/>
      <c r="I811" s="135"/>
      <c r="L811" s="9"/>
      <c r="M811" s="10"/>
    </row>
    <row r="812">
      <c r="A812" s="134"/>
      <c r="C812" s="9"/>
      <c r="I812" s="135"/>
      <c r="L812" s="9"/>
      <c r="M812" s="10"/>
    </row>
    <row r="813">
      <c r="A813" s="134"/>
      <c r="C813" s="9"/>
      <c r="I813" s="135"/>
      <c r="L813" s="9"/>
      <c r="M813" s="10"/>
    </row>
    <row r="814">
      <c r="A814" s="134"/>
      <c r="C814" s="9"/>
      <c r="I814" s="135"/>
      <c r="L814" s="9"/>
      <c r="M814" s="10"/>
    </row>
    <row r="815">
      <c r="A815" s="134"/>
      <c r="C815" s="9"/>
      <c r="I815" s="135"/>
      <c r="L815" s="9"/>
      <c r="M815" s="10"/>
    </row>
    <row r="816">
      <c r="A816" s="134"/>
      <c r="C816" s="9"/>
      <c r="I816" s="135"/>
      <c r="L816" s="9"/>
      <c r="M816" s="10"/>
    </row>
    <row r="817">
      <c r="A817" s="134"/>
      <c r="C817" s="9"/>
      <c r="I817" s="135"/>
      <c r="L817" s="9"/>
      <c r="M817" s="10"/>
    </row>
    <row r="818">
      <c r="A818" s="134"/>
      <c r="C818" s="9"/>
      <c r="I818" s="135"/>
      <c r="L818" s="9"/>
      <c r="M818" s="10"/>
    </row>
    <row r="819">
      <c r="A819" s="134"/>
      <c r="C819" s="9"/>
      <c r="I819" s="135"/>
      <c r="L819" s="9"/>
      <c r="M819" s="10"/>
    </row>
    <row r="820">
      <c r="A820" s="134"/>
      <c r="C820" s="9"/>
      <c r="I820" s="135"/>
      <c r="L820" s="9"/>
      <c r="M820" s="10"/>
    </row>
    <row r="821">
      <c r="A821" s="134"/>
      <c r="C821" s="9"/>
      <c r="I821" s="135"/>
      <c r="L821" s="9"/>
      <c r="M821" s="10"/>
    </row>
    <row r="822">
      <c r="A822" s="134"/>
      <c r="C822" s="9"/>
      <c r="I822" s="135"/>
      <c r="L822" s="9"/>
      <c r="M822" s="10"/>
    </row>
    <row r="823">
      <c r="A823" s="134"/>
      <c r="C823" s="9"/>
      <c r="I823" s="135"/>
      <c r="L823" s="9"/>
      <c r="M823" s="10"/>
    </row>
    <row r="824">
      <c r="A824" s="134"/>
      <c r="C824" s="9"/>
      <c r="I824" s="135"/>
      <c r="L824" s="9"/>
      <c r="M824" s="10"/>
    </row>
    <row r="825">
      <c r="A825" s="134"/>
      <c r="C825" s="9"/>
      <c r="I825" s="135"/>
      <c r="L825" s="9"/>
      <c r="M825" s="10"/>
    </row>
    <row r="826">
      <c r="A826" s="134"/>
      <c r="C826" s="9"/>
      <c r="I826" s="135"/>
      <c r="L826" s="9"/>
      <c r="M826" s="10"/>
    </row>
    <row r="827">
      <c r="A827" s="134"/>
      <c r="C827" s="9"/>
      <c r="I827" s="135"/>
      <c r="L827" s="9"/>
      <c r="M827" s="10"/>
    </row>
    <row r="828">
      <c r="A828" s="134"/>
      <c r="C828" s="9"/>
      <c r="I828" s="135"/>
      <c r="L828" s="9"/>
      <c r="M828" s="10"/>
    </row>
    <row r="829">
      <c r="A829" s="134"/>
      <c r="C829" s="9"/>
      <c r="I829" s="135"/>
      <c r="L829" s="9"/>
      <c r="M829" s="10"/>
    </row>
    <row r="830">
      <c r="A830" s="134"/>
      <c r="C830" s="9"/>
      <c r="I830" s="135"/>
      <c r="L830" s="9"/>
      <c r="M830" s="10"/>
    </row>
    <row r="831">
      <c r="A831" s="134"/>
      <c r="C831" s="9"/>
      <c r="I831" s="135"/>
      <c r="L831" s="9"/>
      <c r="M831" s="10"/>
    </row>
    <row r="832">
      <c r="A832" s="134"/>
      <c r="C832" s="9"/>
      <c r="I832" s="135"/>
      <c r="L832" s="9"/>
      <c r="M832" s="10"/>
    </row>
    <row r="833">
      <c r="A833" s="134"/>
      <c r="C833" s="9"/>
      <c r="I833" s="135"/>
      <c r="L833" s="9"/>
      <c r="M833" s="10"/>
    </row>
    <row r="834">
      <c r="A834" s="134"/>
      <c r="C834" s="9"/>
      <c r="I834" s="135"/>
      <c r="L834" s="9"/>
      <c r="M834" s="10"/>
    </row>
    <row r="835">
      <c r="A835" s="134"/>
      <c r="C835" s="9"/>
      <c r="I835" s="135"/>
      <c r="L835" s="9"/>
      <c r="M835" s="10"/>
    </row>
    <row r="836">
      <c r="A836" s="134"/>
      <c r="C836" s="9"/>
      <c r="I836" s="135"/>
      <c r="L836" s="9"/>
      <c r="M836" s="10"/>
    </row>
    <row r="837">
      <c r="A837" s="134"/>
      <c r="C837" s="9"/>
      <c r="I837" s="135"/>
      <c r="L837" s="9"/>
      <c r="M837" s="10"/>
    </row>
    <row r="838">
      <c r="A838" s="134"/>
      <c r="C838" s="9"/>
      <c r="I838" s="135"/>
      <c r="L838" s="9"/>
      <c r="M838" s="10"/>
    </row>
    <row r="839">
      <c r="A839" s="134"/>
      <c r="C839" s="9"/>
      <c r="I839" s="135"/>
      <c r="L839" s="9"/>
      <c r="M839" s="10"/>
    </row>
    <row r="840">
      <c r="A840" s="134"/>
      <c r="C840" s="9"/>
      <c r="I840" s="135"/>
      <c r="L840" s="9"/>
      <c r="M840" s="10"/>
    </row>
    <row r="841">
      <c r="A841" s="134"/>
      <c r="C841" s="9"/>
      <c r="I841" s="135"/>
      <c r="L841" s="9"/>
      <c r="M841" s="10"/>
    </row>
    <row r="842">
      <c r="A842" s="134"/>
      <c r="C842" s="9"/>
      <c r="I842" s="135"/>
      <c r="L842" s="9"/>
      <c r="M842" s="10"/>
    </row>
    <row r="843">
      <c r="A843" s="134"/>
      <c r="C843" s="9"/>
      <c r="I843" s="135"/>
      <c r="L843" s="9"/>
      <c r="M843" s="10"/>
    </row>
    <row r="844">
      <c r="A844" s="134"/>
      <c r="C844" s="9"/>
      <c r="I844" s="135"/>
      <c r="L844" s="9"/>
      <c r="M844" s="10"/>
    </row>
    <row r="845">
      <c r="A845" s="134"/>
      <c r="C845" s="9"/>
      <c r="I845" s="135"/>
      <c r="L845" s="9"/>
      <c r="M845" s="10"/>
    </row>
    <row r="846">
      <c r="A846" s="134"/>
      <c r="C846" s="9"/>
      <c r="I846" s="135"/>
      <c r="L846" s="9"/>
      <c r="M846" s="10"/>
    </row>
    <row r="847">
      <c r="A847" s="134"/>
      <c r="C847" s="9"/>
      <c r="I847" s="135"/>
      <c r="L847" s="9"/>
      <c r="M847" s="10"/>
    </row>
    <row r="848">
      <c r="A848" s="134"/>
      <c r="C848" s="9"/>
      <c r="I848" s="135"/>
      <c r="L848" s="9"/>
      <c r="M848" s="10"/>
    </row>
    <row r="849">
      <c r="A849" s="134"/>
      <c r="C849" s="9"/>
      <c r="I849" s="135"/>
      <c r="L849" s="9"/>
      <c r="M849" s="10"/>
    </row>
    <row r="850">
      <c r="A850" s="134"/>
      <c r="C850" s="9"/>
      <c r="I850" s="135"/>
      <c r="L850" s="9"/>
      <c r="M850" s="10"/>
    </row>
    <row r="851">
      <c r="A851" s="134"/>
      <c r="C851" s="9"/>
      <c r="I851" s="135"/>
      <c r="L851" s="9"/>
      <c r="M851" s="10"/>
    </row>
    <row r="852">
      <c r="A852" s="134"/>
      <c r="C852" s="9"/>
      <c r="I852" s="135"/>
      <c r="L852" s="9"/>
      <c r="M852" s="10"/>
    </row>
    <row r="853">
      <c r="A853" s="134"/>
      <c r="C853" s="9"/>
      <c r="I853" s="135"/>
      <c r="L853" s="9"/>
      <c r="M853" s="10"/>
    </row>
    <row r="854">
      <c r="A854" s="134"/>
      <c r="C854" s="9"/>
      <c r="I854" s="135"/>
      <c r="L854" s="9"/>
      <c r="M854" s="10"/>
    </row>
    <row r="855">
      <c r="A855" s="134"/>
      <c r="C855" s="9"/>
      <c r="I855" s="135"/>
      <c r="L855" s="9"/>
      <c r="M855" s="10"/>
    </row>
    <row r="856">
      <c r="A856" s="134"/>
      <c r="C856" s="9"/>
      <c r="I856" s="135"/>
      <c r="L856" s="9"/>
      <c r="M856" s="10"/>
    </row>
    <row r="857">
      <c r="A857" s="134"/>
      <c r="C857" s="9"/>
      <c r="I857" s="135"/>
      <c r="L857" s="9"/>
      <c r="M857" s="10"/>
    </row>
    <row r="858">
      <c r="A858" s="134"/>
      <c r="C858" s="9"/>
      <c r="I858" s="135"/>
      <c r="L858" s="9"/>
      <c r="M858" s="10"/>
    </row>
    <row r="859">
      <c r="A859" s="134"/>
      <c r="C859" s="9"/>
      <c r="I859" s="135"/>
      <c r="L859" s="9"/>
      <c r="M859" s="10"/>
    </row>
    <row r="860">
      <c r="A860" s="134"/>
      <c r="C860" s="9"/>
      <c r="I860" s="135"/>
      <c r="L860" s="9"/>
      <c r="M860" s="10"/>
    </row>
    <row r="861">
      <c r="A861" s="134"/>
      <c r="C861" s="9"/>
      <c r="I861" s="135"/>
      <c r="L861" s="9"/>
      <c r="M861" s="10"/>
    </row>
    <row r="862">
      <c r="A862" s="134"/>
      <c r="C862" s="9"/>
      <c r="I862" s="135"/>
      <c r="L862" s="9"/>
      <c r="M862" s="10"/>
    </row>
    <row r="863">
      <c r="A863" s="134"/>
      <c r="C863" s="9"/>
      <c r="I863" s="135"/>
      <c r="L863" s="9"/>
      <c r="M863" s="10"/>
    </row>
    <row r="864">
      <c r="A864" s="134"/>
      <c r="C864" s="9"/>
      <c r="I864" s="135"/>
      <c r="L864" s="9"/>
      <c r="M864" s="10"/>
    </row>
    <row r="865">
      <c r="A865" s="134"/>
      <c r="C865" s="9"/>
      <c r="I865" s="135"/>
      <c r="L865" s="9"/>
      <c r="M865" s="10"/>
    </row>
    <row r="866">
      <c r="A866" s="134"/>
      <c r="C866" s="9"/>
      <c r="I866" s="135"/>
      <c r="L866" s="9"/>
      <c r="M866" s="10"/>
    </row>
    <row r="867">
      <c r="A867" s="134"/>
      <c r="C867" s="9"/>
      <c r="I867" s="135"/>
      <c r="L867" s="9"/>
      <c r="M867" s="10"/>
    </row>
    <row r="868">
      <c r="A868" s="134"/>
      <c r="C868" s="9"/>
      <c r="I868" s="135"/>
      <c r="L868" s="9"/>
      <c r="M868" s="10"/>
    </row>
    <row r="869">
      <c r="A869" s="134"/>
      <c r="C869" s="9"/>
      <c r="I869" s="135"/>
      <c r="L869" s="9"/>
      <c r="M869" s="10"/>
    </row>
    <row r="870">
      <c r="A870" s="134"/>
      <c r="C870" s="9"/>
      <c r="I870" s="135"/>
      <c r="L870" s="9"/>
      <c r="M870" s="10"/>
    </row>
    <row r="871">
      <c r="A871" s="134"/>
      <c r="C871" s="9"/>
      <c r="I871" s="135"/>
      <c r="L871" s="9"/>
      <c r="M871" s="10"/>
    </row>
    <row r="872">
      <c r="A872" s="134"/>
      <c r="C872" s="9"/>
      <c r="I872" s="135"/>
      <c r="L872" s="9"/>
      <c r="M872" s="10"/>
    </row>
    <row r="873">
      <c r="A873" s="134"/>
      <c r="C873" s="9"/>
      <c r="I873" s="135"/>
      <c r="L873" s="9"/>
      <c r="M873" s="10"/>
    </row>
    <row r="874">
      <c r="A874" s="134"/>
      <c r="C874" s="9"/>
      <c r="I874" s="135"/>
      <c r="L874" s="9"/>
      <c r="M874" s="10"/>
    </row>
    <row r="875">
      <c r="A875" s="134"/>
      <c r="C875" s="9"/>
      <c r="I875" s="135"/>
      <c r="L875" s="9"/>
      <c r="M875" s="10"/>
    </row>
    <row r="876">
      <c r="A876" s="134"/>
      <c r="C876" s="9"/>
      <c r="I876" s="135"/>
      <c r="L876" s="9"/>
      <c r="M876" s="10"/>
    </row>
    <row r="877">
      <c r="A877" s="134"/>
      <c r="C877" s="9"/>
      <c r="I877" s="135"/>
      <c r="L877" s="9"/>
      <c r="M877" s="10"/>
    </row>
    <row r="878">
      <c r="A878" s="134"/>
      <c r="C878" s="9"/>
      <c r="I878" s="135"/>
      <c r="L878" s="9"/>
      <c r="M878" s="10"/>
    </row>
    <row r="879">
      <c r="A879" s="134"/>
      <c r="C879" s="9"/>
      <c r="I879" s="135"/>
      <c r="L879" s="9"/>
      <c r="M879" s="10"/>
    </row>
    <row r="880">
      <c r="A880" s="134"/>
      <c r="C880" s="9"/>
      <c r="I880" s="135"/>
      <c r="L880" s="9"/>
      <c r="M880" s="10"/>
    </row>
    <row r="881">
      <c r="A881" s="134"/>
      <c r="C881" s="9"/>
      <c r="I881" s="135"/>
      <c r="L881" s="9"/>
      <c r="M881" s="10"/>
    </row>
    <row r="882">
      <c r="A882" s="134"/>
      <c r="C882" s="9"/>
      <c r="I882" s="135"/>
      <c r="L882" s="9"/>
      <c r="M882" s="10"/>
    </row>
    <row r="883">
      <c r="A883" s="134"/>
      <c r="C883" s="9"/>
      <c r="I883" s="135"/>
      <c r="L883" s="9"/>
      <c r="M883" s="10"/>
    </row>
    <row r="884">
      <c r="A884" s="134"/>
      <c r="C884" s="9"/>
      <c r="I884" s="135"/>
      <c r="L884" s="9"/>
      <c r="M884" s="10"/>
    </row>
    <row r="885">
      <c r="A885" s="134"/>
      <c r="C885" s="9"/>
      <c r="I885" s="135"/>
      <c r="L885" s="9"/>
      <c r="M885" s="10"/>
    </row>
    <row r="886">
      <c r="A886" s="134"/>
      <c r="C886" s="9"/>
      <c r="I886" s="135"/>
      <c r="L886" s="9"/>
      <c r="M886" s="10"/>
    </row>
    <row r="887">
      <c r="A887" s="134"/>
      <c r="C887" s="9"/>
      <c r="I887" s="135"/>
      <c r="L887" s="9"/>
      <c r="M887" s="10"/>
    </row>
    <row r="888">
      <c r="A888" s="134"/>
      <c r="C888" s="9"/>
      <c r="I888" s="135"/>
      <c r="L888" s="9"/>
      <c r="M888" s="10"/>
    </row>
    <row r="889">
      <c r="A889" s="134"/>
      <c r="C889" s="9"/>
      <c r="I889" s="135"/>
      <c r="L889" s="9"/>
      <c r="M889" s="10"/>
    </row>
    <row r="890">
      <c r="A890" s="134"/>
      <c r="C890" s="9"/>
      <c r="I890" s="135"/>
      <c r="L890" s="9"/>
      <c r="M890" s="10"/>
    </row>
    <row r="891">
      <c r="A891" s="134"/>
      <c r="C891" s="9"/>
      <c r="I891" s="135"/>
      <c r="L891" s="9"/>
      <c r="M891" s="10"/>
    </row>
    <row r="892">
      <c r="A892" s="134"/>
      <c r="C892" s="9"/>
      <c r="I892" s="135"/>
      <c r="L892" s="9"/>
      <c r="M892" s="10"/>
    </row>
    <row r="893">
      <c r="A893" s="134"/>
      <c r="C893" s="9"/>
      <c r="I893" s="135"/>
      <c r="L893" s="9"/>
      <c r="M893" s="10"/>
    </row>
    <row r="894">
      <c r="A894" s="134"/>
      <c r="C894" s="9"/>
      <c r="I894" s="135"/>
      <c r="L894" s="9"/>
      <c r="M894" s="10"/>
    </row>
    <row r="895">
      <c r="A895" s="134"/>
      <c r="C895" s="9"/>
      <c r="I895" s="135"/>
      <c r="L895" s="9"/>
      <c r="M895" s="10"/>
    </row>
    <row r="896">
      <c r="A896" s="134"/>
      <c r="C896" s="9"/>
      <c r="I896" s="135"/>
      <c r="L896" s="9"/>
      <c r="M896" s="10"/>
    </row>
    <row r="897">
      <c r="A897" s="134"/>
      <c r="C897" s="9"/>
      <c r="I897" s="135"/>
      <c r="L897" s="9"/>
      <c r="M897" s="10"/>
    </row>
    <row r="898">
      <c r="A898" s="134"/>
      <c r="C898" s="9"/>
      <c r="I898" s="135"/>
      <c r="L898" s="9"/>
      <c r="M898" s="10"/>
    </row>
    <row r="899">
      <c r="A899" s="134"/>
      <c r="C899" s="9"/>
      <c r="I899" s="135"/>
      <c r="L899" s="9"/>
      <c r="M899" s="10"/>
    </row>
    <row r="900">
      <c r="A900" s="134"/>
      <c r="C900" s="9"/>
      <c r="I900" s="135"/>
      <c r="L900" s="9"/>
      <c r="M900" s="10"/>
    </row>
    <row r="901">
      <c r="A901" s="134"/>
      <c r="C901" s="9"/>
      <c r="I901" s="135"/>
      <c r="L901" s="9"/>
      <c r="M901" s="10"/>
    </row>
    <row r="902">
      <c r="A902" s="134"/>
      <c r="C902" s="9"/>
      <c r="I902" s="135"/>
      <c r="L902" s="9"/>
      <c r="M902" s="10"/>
    </row>
    <row r="903">
      <c r="A903" s="134"/>
      <c r="C903" s="9"/>
      <c r="I903" s="135"/>
      <c r="L903" s="9"/>
      <c r="M903" s="10"/>
    </row>
    <row r="904">
      <c r="A904" s="134"/>
      <c r="C904" s="9"/>
      <c r="I904" s="135"/>
      <c r="L904" s="9"/>
      <c r="M904" s="10"/>
    </row>
    <row r="905">
      <c r="A905" s="134"/>
      <c r="C905" s="9"/>
      <c r="I905" s="135"/>
      <c r="L905" s="9"/>
      <c r="M905" s="10"/>
    </row>
    <row r="906">
      <c r="A906" s="134"/>
      <c r="C906" s="9"/>
      <c r="I906" s="135"/>
      <c r="L906" s="9"/>
      <c r="M906" s="10"/>
    </row>
    <row r="907">
      <c r="A907" s="134"/>
      <c r="C907" s="9"/>
      <c r="I907" s="135"/>
      <c r="L907" s="9"/>
      <c r="M907" s="10"/>
    </row>
    <row r="908">
      <c r="A908" s="134"/>
      <c r="C908" s="9"/>
      <c r="I908" s="135"/>
      <c r="L908" s="9"/>
      <c r="M908" s="10"/>
    </row>
    <row r="909">
      <c r="A909" s="134"/>
      <c r="C909" s="9"/>
      <c r="I909" s="135"/>
      <c r="L909" s="9"/>
      <c r="M909" s="10"/>
    </row>
    <row r="910">
      <c r="A910" s="134"/>
      <c r="C910" s="9"/>
      <c r="I910" s="135"/>
      <c r="L910" s="9"/>
      <c r="M910" s="10"/>
    </row>
    <row r="911">
      <c r="A911" s="134"/>
      <c r="C911" s="9"/>
      <c r="I911" s="135"/>
      <c r="L911" s="9"/>
      <c r="M911" s="10"/>
    </row>
    <row r="912">
      <c r="A912" s="134"/>
      <c r="C912" s="9"/>
      <c r="I912" s="135"/>
      <c r="L912" s="9"/>
      <c r="M912" s="10"/>
    </row>
    <row r="913">
      <c r="A913" s="134"/>
      <c r="C913" s="9"/>
      <c r="I913" s="135"/>
      <c r="L913" s="9"/>
      <c r="M913" s="10"/>
    </row>
    <row r="914">
      <c r="A914" s="134"/>
      <c r="C914" s="9"/>
      <c r="I914" s="135"/>
      <c r="L914" s="9"/>
      <c r="M914" s="10"/>
    </row>
    <row r="915">
      <c r="A915" s="134"/>
      <c r="C915" s="9"/>
      <c r="I915" s="135"/>
      <c r="L915" s="9"/>
      <c r="M915" s="10"/>
    </row>
    <row r="916">
      <c r="A916" s="134"/>
      <c r="C916" s="9"/>
      <c r="I916" s="135"/>
      <c r="L916" s="9"/>
      <c r="M916" s="10"/>
    </row>
    <row r="917">
      <c r="A917" s="134"/>
      <c r="C917" s="9"/>
      <c r="I917" s="135"/>
      <c r="L917" s="9"/>
      <c r="M917" s="10"/>
    </row>
    <row r="918">
      <c r="A918" s="134"/>
      <c r="C918" s="9"/>
      <c r="I918" s="135"/>
      <c r="L918" s="9"/>
      <c r="M918" s="10"/>
    </row>
    <row r="919">
      <c r="A919" s="134"/>
      <c r="C919" s="9"/>
      <c r="I919" s="135"/>
      <c r="L919" s="9"/>
      <c r="M919" s="10"/>
    </row>
    <row r="920">
      <c r="A920" s="134"/>
      <c r="C920" s="9"/>
      <c r="I920" s="135"/>
      <c r="L920" s="9"/>
      <c r="M920" s="10"/>
    </row>
    <row r="921">
      <c r="A921" s="134"/>
      <c r="C921" s="9"/>
      <c r="I921" s="135"/>
      <c r="L921" s="9"/>
      <c r="M921" s="10"/>
    </row>
    <row r="922">
      <c r="A922" s="134"/>
      <c r="C922" s="9"/>
      <c r="I922" s="135"/>
      <c r="L922" s="9"/>
      <c r="M922" s="10"/>
    </row>
    <row r="923">
      <c r="A923" s="134"/>
      <c r="C923" s="9"/>
      <c r="I923" s="135"/>
      <c r="L923" s="9"/>
      <c r="M923" s="10"/>
    </row>
    <row r="924">
      <c r="A924" s="134"/>
      <c r="C924" s="9"/>
      <c r="I924" s="135"/>
      <c r="L924" s="9"/>
      <c r="M924" s="10"/>
    </row>
    <row r="925">
      <c r="A925" s="134"/>
      <c r="C925" s="9"/>
      <c r="I925" s="135"/>
      <c r="L925" s="9"/>
      <c r="M925" s="10"/>
    </row>
    <row r="926">
      <c r="A926" s="134"/>
      <c r="C926" s="9"/>
      <c r="I926" s="135"/>
      <c r="L926" s="9"/>
      <c r="M926" s="10"/>
    </row>
    <row r="927">
      <c r="A927" s="134"/>
      <c r="C927" s="9"/>
      <c r="I927" s="135"/>
      <c r="L927" s="9"/>
      <c r="M927" s="10"/>
    </row>
    <row r="928">
      <c r="A928" s="134"/>
      <c r="C928" s="9"/>
      <c r="I928" s="135"/>
      <c r="L928" s="9"/>
      <c r="M928" s="10"/>
    </row>
    <row r="929">
      <c r="A929" s="134"/>
      <c r="C929" s="9"/>
      <c r="I929" s="135"/>
      <c r="L929" s="9"/>
      <c r="M929" s="10"/>
    </row>
    <row r="930">
      <c r="A930" s="134"/>
      <c r="C930" s="9"/>
      <c r="I930" s="135"/>
      <c r="L930" s="9"/>
      <c r="M930" s="10"/>
    </row>
    <row r="931">
      <c r="A931" s="134"/>
      <c r="C931" s="9"/>
      <c r="I931" s="135"/>
      <c r="L931" s="9"/>
      <c r="M931" s="10"/>
    </row>
    <row r="932">
      <c r="A932" s="134"/>
      <c r="C932" s="9"/>
      <c r="I932" s="135"/>
      <c r="L932" s="9"/>
      <c r="M932" s="10"/>
    </row>
    <row r="933">
      <c r="A933" s="134"/>
      <c r="C933" s="9"/>
      <c r="I933" s="135"/>
      <c r="L933" s="9"/>
      <c r="M933" s="10"/>
    </row>
    <row r="934">
      <c r="A934" s="134"/>
      <c r="C934" s="9"/>
      <c r="I934" s="135"/>
      <c r="L934" s="9"/>
      <c r="M934" s="10"/>
    </row>
    <row r="935">
      <c r="A935" s="134"/>
      <c r="C935" s="9"/>
      <c r="I935" s="135"/>
      <c r="L935" s="9"/>
      <c r="M935" s="10"/>
    </row>
    <row r="936">
      <c r="A936" s="134"/>
      <c r="C936" s="9"/>
      <c r="I936" s="135"/>
      <c r="L936" s="9"/>
      <c r="M936" s="10"/>
    </row>
    <row r="937">
      <c r="A937" s="134"/>
      <c r="C937" s="9"/>
      <c r="I937" s="135"/>
      <c r="L937" s="9"/>
      <c r="M937" s="10"/>
    </row>
    <row r="938">
      <c r="A938" s="134"/>
      <c r="C938" s="9"/>
      <c r="I938" s="135"/>
      <c r="L938" s="9"/>
      <c r="M938" s="10"/>
    </row>
    <row r="939">
      <c r="A939" s="134"/>
      <c r="C939" s="9"/>
      <c r="I939" s="135"/>
      <c r="L939" s="9"/>
      <c r="M939" s="10"/>
    </row>
    <row r="940">
      <c r="A940" s="134"/>
      <c r="C940" s="9"/>
      <c r="I940" s="135"/>
      <c r="L940" s="9"/>
      <c r="M940" s="10"/>
    </row>
    <row r="941">
      <c r="A941" s="134"/>
      <c r="C941" s="9"/>
      <c r="I941" s="135"/>
      <c r="L941" s="9"/>
      <c r="M941" s="10"/>
    </row>
    <row r="942">
      <c r="A942" s="134"/>
      <c r="C942" s="9"/>
      <c r="I942" s="135"/>
      <c r="L942" s="9"/>
      <c r="M942" s="10"/>
    </row>
    <row r="943">
      <c r="A943" s="134"/>
      <c r="C943" s="9"/>
      <c r="I943" s="135"/>
      <c r="L943" s="9"/>
      <c r="M943" s="10"/>
    </row>
    <row r="944">
      <c r="A944" s="134"/>
      <c r="C944" s="9"/>
      <c r="I944" s="135"/>
      <c r="L944" s="9"/>
      <c r="M944" s="10"/>
    </row>
    <row r="945">
      <c r="A945" s="134"/>
      <c r="C945" s="9"/>
      <c r="I945" s="135"/>
      <c r="L945" s="9"/>
      <c r="M945" s="10"/>
    </row>
    <row r="946">
      <c r="A946" s="134"/>
      <c r="C946" s="9"/>
      <c r="I946" s="135"/>
      <c r="L946" s="9"/>
      <c r="M946" s="10"/>
    </row>
    <row r="947">
      <c r="A947" s="134"/>
      <c r="C947" s="9"/>
      <c r="I947" s="135"/>
      <c r="L947" s="9"/>
      <c r="M947" s="10"/>
    </row>
    <row r="948">
      <c r="A948" s="134"/>
      <c r="C948" s="9"/>
      <c r="I948" s="135"/>
      <c r="L948" s="9"/>
      <c r="M948" s="10"/>
    </row>
    <row r="949">
      <c r="A949" s="134"/>
      <c r="C949" s="9"/>
      <c r="I949" s="135"/>
      <c r="L949" s="9"/>
      <c r="M949" s="10"/>
    </row>
    <row r="950">
      <c r="A950" s="134"/>
      <c r="C950" s="9"/>
      <c r="I950" s="135"/>
      <c r="L950" s="9"/>
      <c r="M950" s="10"/>
    </row>
    <row r="951">
      <c r="A951" s="134"/>
      <c r="C951" s="9"/>
      <c r="I951" s="135"/>
      <c r="L951" s="9"/>
      <c r="M951" s="10"/>
    </row>
    <row r="952">
      <c r="A952" s="134"/>
      <c r="C952" s="9"/>
      <c r="I952" s="135"/>
      <c r="L952" s="9"/>
      <c r="M952" s="10"/>
    </row>
    <row r="953">
      <c r="A953" s="134"/>
      <c r="C953" s="9"/>
      <c r="I953" s="135"/>
      <c r="L953" s="9"/>
      <c r="M953" s="10"/>
    </row>
    <row r="954">
      <c r="A954" s="134"/>
      <c r="C954" s="9"/>
      <c r="I954" s="135"/>
      <c r="L954" s="9"/>
      <c r="M954" s="10"/>
    </row>
    <row r="955">
      <c r="A955" s="134"/>
      <c r="C955" s="9"/>
      <c r="I955" s="135"/>
      <c r="L955" s="9"/>
      <c r="M955" s="10"/>
    </row>
    <row r="956">
      <c r="A956" s="134"/>
      <c r="C956" s="9"/>
      <c r="I956" s="135"/>
      <c r="L956" s="9"/>
      <c r="M956" s="10"/>
    </row>
    <row r="957">
      <c r="A957" s="134"/>
      <c r="C957" s="9"/>
      <c r="I957" s="135"/>
      <c r="L957" s="9"/>
      <c r="M957" s="10"/>
    </row>
    <row r="958">
      <c r="A958" s="134"/>
      <c r="C958" s="9"/>
      <c r="I958" s="135"/>
      <c r="L958" s="9"/>
      <c r="M958" s="10"/>
    </row>
    <row r="959">
      <c r="A959" s="134"/>
      <c r="C959" s="9"/>
      <c r="I959" s="135"/>
      <c r="L959" s="9"/>
      <c r="M959" s="10"/>
    </row>
    <row r="960">
      <c r="A960" s="134"/>
      <c r="C960" s="9"/>
      <c r="I960" s="135"/>
      <c r="L960" s="9"/>
      <c r="M960" s="10"/>
    </row>
    <row r="961">
      <c r="A961" s="134"/>
      <c r="C961" s="9"/>
      <c r="I961" s="135"/>
      <c r="L961" s="9"/>
      <c r="M961" s="10"/>
    </row>
    <row r="962">
      <c r="A962" s="134"/>
      <c r="C962" s="9"/>
      <c r="I962" s="135"/>
      <c r="L962" s="9"/>
      <c r="M962" s="10"/>
    </row>
    <row r="963">
      <c r="A963" s="134"/>
      <c r="C963" s="9"/>
      <c r="I963" s="135"/>
      <c r="L963" s="9"/>
      <c r="M963" s="10"/>
    </row>
    <row r="964">
      <c r="A964" s="134"/>
      <c r="C964" s="9"/>
      <c r="I964" s="135"/>
      <c r="L964" s="9"/>
      <c r="M964" s="10"/>
    </row>
    <row r="965">
      <c r="A965" s="134"/>
      <c r="C965" s="9"/>
      <c r="I965" s="135"/>
      <c r="L965" s="9"/>
      <c r="M965" s="10"/>
    </row>
    <row r="966">
      <c r="A966" s="134"/>
      <c r="C966" s="9"/>
      <c r="I966" s="135"/>
      <c r="L966" s="9"/>
      <c r="M966" s="10"/>
    </row>
    <row r="967">
      <c r="A967" s="134"/>
      <c r="C967" s="9"/>
      <c r="I967" s="135"/>
      <c r="L967" s="9"/>
      <c r="M967" s="10"/>
    </row>
    <row r="968">
      <c r="A968" s="134"/>
      <c r="C968" s="9"/>
      <c r="I968" s="135"/>
      <c r="L968" s="9"/>
      <c r="M968" s="10"/>
    </row>
    <row r="969">
      <c r="A969" s="134"/>
      <c r="C969" s="9"/>
      <c r="I969" s="135"/>
      <c r="L969" s="9"/>
      <c r="M969" s="10"/>
    </row>
    <row r="970">
      <c r="A970" s="134"/>
      <c r="C970" s="9"/>
      <c r="I970" s="135"/>
      <c r="L970" s="9"/>
      <c r="M970" s="10"/>
    </row>
    <row r="971">
      <c r="A971" s="134"/>
      <c r="C971" s="9"/>
      <c r="I971" s="135"/>
      <c r="L971" s="9"/>
      <c r="M971" s="10"/>
    </row>
    <row r="972">
      <c r="A972" s="134"/>
      <c r="C972" s="9"/>
      <c r="I972" s="135"/>
      <c r="L972" s="9"/>
      <c r="M972" s="10"/>
    </row>
    <row r="973">
      <c r="A973" s="134"/>
      <c r="C973" s="9"/>
      <c r="I973" s="135"/>
      <c r="L973" s="9"/>
      <c r="M973" s="10"/>
    </row>
    <row r="974">
      <c r="A974" s="134"/>
      <c r="C974" s="9"/>
      <c r="I974" s="135"/>
      <c r="L974" s="9"/>
      <c r="M974" s="10"/>
    </row>
    <row r="975">
      <c r="A975" s="134"/>
      <c r="C975" s="9"/>
      <c r="I975" s="135"/>
      <c r="L975" s="9"/>
      <c r="M975" s="10"/>
    </row>
    <row r="976">
      <c r="A976" s="134"/>
      <c r="C976" s="9"/>
      <c r="I976" s="135"/>
      <c r="L976" s="9"/>
      <c r="M976" s="10"/>
    </row>
    <row r="977">
      <c r="A977" s="134"/>
      <c r="C977" s="9"/>
      <c r="I977" s="135"/>
      <c r="L977" s="9"/>
      <c r="M977" s="10"/>
    </row>
    <row r="978">
      <c r="A978" s="134"/>
      <c r="C978" s="9"/>
      <c r="I978" s="135"/>
      <c r="L978" s="9"/>
      <c r="M978" s="10"/>
    </row>
    <row r="979">
      <c r="A979" s="134"/>
      <c r="C979" s="9"/>
      <c r="I979" s="135"/>
      <c r="L979" s="9"/>
      <c r="M979" s="10"/>
    </row>
    <row r="980">
      <c r="A980" s="134"/>
      <c r="C980" s="9"/>
      <c r="I980" s="135"/>
      <c r="L980" s="9"/>
      <c r="M980" s="10"/>
    </row>
    <row r="981">
      <c r="A981" s="134"/>
      <c r="C981" s="9"/>
      <c r="I981" s="135"/>
      <c r="L981" s="9"/>
      <c r="M981" s="10"/>
    </row>
    <row r="982">
      <c r="A982" s="134"/>
      <c r="C982" s="9"/>
      <c r="I982" s="135"/>
      <c r="L982" s="9"/>
      <c r="M982" s="10"/>
    </row>
    <row r="983">
      <c r="A983" s="134"/>
      <c r="C983" s="9"/>
      <c r="I983" s="135"/>
      <c r="L983" s="9"/>
      <c r="M983" s="10"/>
    </row>
    <row r="984">
      <c r="A984" s="134"/>
      <c r="C984" s="9"/>
      <c r="I984" s="135"/>
      <c r="L984" s="9"/>
      <c r="M984" s="10"/>
    </row>
    <row r="985">
      <c r="A985" s="134"/>
      <c r="C985" s="9"/>
      <c r="I985" s="135"/>
      <c r="L985" s="9"/>
      <c r="M985" s="10"/>
    </row>
    <row r="986">
      <c r="A986" s="134"/>
      <c r="C986" s="9"/>
      <c r="I986" s="135"/>
      <c r="L986" s="9"/>
      <c r="M986" s="10"/>
    </row>
    <row r="987">
      <c r="A987" s="134"/>
      <c r="C987" s="9"/>
      <c r="I987" s="135"/>
      <c r="L987" s="9"/>
      <c r="M987" s="10"/>
    </row>
    <row r="988">
      <c r="A988" s="134"/>
      <c r="C988" s="9"/>
      <c r="I988" s="135"/>
      <c r="L988" s="9"/>
      <c r="M988" s="10"/>
    </row>
    <row r="989">
      <c r="A989" s="134"/>
      <c r="C989" s="9"/>
      <c r="I989" s="135"/>
      <c r="L989" s="9"/>
      <c r="M989" s="10"/>
    </row>
    <row r="990">
      <c r="A990" s="134"/>
      <c r="C990" s="9"/>
      <c r="I990" s="135"/>
      <c r="L990" s="9"/>
      <c r="M990" s="10"/>
    </row>
    <row r="991">
      <c r="A991" s="134"/>
      <c r="C991" s="9"/>
      <c r="I991" s="135"/>
      <c r="L991" s="9"/>
      <c r="M991" s="10"/>
    </row>
    <row r="992">
      <c r="A992" s="134"/>
      <c r="C992" s="9"/>
      <c r="I992" s="135"/>
      <c r="L992" s="9"/>
      <c r="M992" s="10"/>
    </row>
    <row r="993">
      <c r="A993" s="134"/>
      <c r="C993" s="9"/>
      <c r="I993" s="135"/>
      <c r="L993" s="9"/>
      <c r="M993" s="10"/>
    </row>
  </sheetData>
  <mergeCells count="53">
    <mergeCell ref="G59:H59"/>
    <mergeCell ref="D60:H60"/>
    <mergeCell ref="D56:E56"/>
    <mergeCell ref="G56:H56"/>
    <mergeCell ref="D57:E57"/>
    <mergeCell ref="G57:H57"/>
    <mergeCell ref="D58:E58"/>
    <mergeCell ref="G58:H58"/>
    <mergeCell ref="D59:E59"/>
    <mergeCell ref="I3:I4"/>
    <mergeCell ref="J3:K3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A5:A13"/>
    <mergeCell ref="B5:B13"/>
    <mergeCell ref="K5:K13"/>
    <mergeCell ref="B14:B22"/>
    <mergeCell ref="K14:K22"/>
    <mergeCell ref="B35:B36"/>
    <mergeCell ref="A38:C38"/>
    <mergeCell ref="E38:F38"/>
    <mergeCell ref="A39:I39"/>
    <mergeCell ref="A44:C44"/>
    <mergeCell ref="E44:F44"/>
    <mergeCell ref="A45:I45"/>
    <mergeCell ref="A14:A22"/>
    <mergeCell ref="A23:A32"/>
    <mergeCell ref="B23:B32"/>
    <mergeCell ref="A33:C33"/>
    <mergeCell ref="E33:F33"/>
    <mergeCell ref="A34:I34"/>
    <mergeCell ref="A35:A36"/>
    <mergeCell ref="I5:I13"/>
    <mergeCell ref="I14:I22"/>
    <mergeCell ref="I23:I32"/>
    <mergeCell ref="K23:K32"/>
    <mergeCell ref="J33:K33"/>
    <mergeCell ref="I35:I38"/>
    <mergeCell ref="I41:I44"/>
    <mergeCell ref="I46:I47"/>
    <mergeCell ref="I48:I49"/>
    <mergeCell ref="A50:C50"/>
    <mergeCell ref="E50:F50"/>
    <mergeCell ref="A51:I51"/>
    <mergeCell ref="A53:C53"/>
    <mergeCell ref="E53:F53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